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9f90a6446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試用紀錄" sheetId="1" r:id="R58b1f918daa247b5"/>
    <x:sheet xmlns:r="http://schemas.openxmlformats.org/officeDocument/2006/relationships" name="有效樣本" sheetId="2" r:id="R47e3b74b274c49cc"/>
    <x:sheet xmlns:r="http://schemas.openxmlformats.org/officeDocument/2006/relationships" name="分級摘要" sheetId="3" r:id="Rc5ea48d706da467d"/>
    <x:sheet xmlns:r="http://schemas.openxmlformats.org/officeDocument/2006/relationships" name="填表說明" sheetId="4" r:id="Rcf4c98c8ee08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sz val="10"/>
      <x:color rgb="FF253041"/>
      <x:name val="Arial"/>
    </x:font>
    <x:font>
      <x:b/>
      <x:sz val="10"/>
      <x:color rgb="FFFFFFFF"/>
      <x:name val="Arial"/>
    </x:font>
    <x:font>
      <x:sz val="15"/>
      <x:color rgb="FF253041"/>
      <x:name val="Arial"/>
    </x:font>
    <x:font>
      <x:i/>
      <x:sz val="10"/>
      <x:color rgb="FF526274"/>
      <x:name val="Arial"/>
    </x:font>
    <x:font>
      <x:sz val="16"/>
      <x:color rgb="FF253041"/>
      <x:name val="Arial"/>
    </x:font>
    <x:font>
      <x:b/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4CC"/>
      </x:patternFill>
    </x:fill>
    <x:fill>
      <x:patternFill patternType="solid">
        <x:fgColor rgb="FFE8F0FE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62cab0e12489a" /><Relationship Type="http://schemas.openxmlformats.org/officeDocument/2006/relationships/theme" Target="/xl/theme/theme1.xml" Id="Reb6e2a31a5c54bda" /><Relationship Type="http://schemas.openxmlformats.org/officeDocument/2006/relationships/sharedStrings" Target="/xl/sharedStrings.xml" Id="R1127a395993546d6" /><Relationship Type="http://schemas.openxmlformats.org/officeDocument/2006/relationships/worksheet" Target="/xl/worksheets/sheet1.xml" Id="R58b1f918daa247b5" /><Relationship Type="http://schemas.openxmlformats.org/officeDocument/2006/relationships/worksheet" Target="/xl/worksheets/sheet2.xml" Id="R47e3b74b274c49cc" /><Relationship Type="http://schemas.openxmlformats.org/officeDocument/2006/relationships/worksheet" Target="/xl/worksheets/sheet3.xml" Id="Rc5ea48d706da467d" /><Relationship Type="http://schemas.openxmlformats.org/officeDocument/2006/relationships/worksheet" Target="/xl/worksheets/sheet4.xml" Id="Rcf4c98c8ee084cbe" /></Relationships>
</file>

<file path=xl/tables/table1.xml><?xml version="1.0" encoding="utf-8"?>
<x:table xmlns:x="http://schemas.openxmlformats.org/spreadsheetml/2006/main" id="1" name="PilotAttempts" displayName="PilotAttempts" ref="A1:Y51" headerRowCount="1" totalsRowCount="0" totalsRowShown="0">
  <x:tableColumns count="25">
    <x:tableColumn id="1" name="試次代碼"/>
    <x:tableColumn id="2" name="程度"/>
    <x:tableColumn id="3" name="匿名學習者代碼"/>
    <x:tableColumn id="4" name="課程 ID／課型"/>
    <x:tableColumn id="5" name="核心句數"/>
    <x:tableColumn id="6" name="試用月份 YYYY-MM（選填）"/>
    <x:tableColumn id="7" name="字詞暖身（分鐘）"/>
    <x:tableColumn id="8" name="首次完整聽讀（分鐘）"/>
    <x:tableColumn id="9" name="核心句精聽（分鐘）"/>
    <x:tableColumn id="10" name="理解檢核（分鐘）"/>
    <x:tableColumn id="11" name="開口輸出（分鐘）"/>
    <x:tableColumn id="12" name="回顧收尾（分鐘）"/>
    <x:tableColumn id="13" name="有效總分鐘（公式）"/>
    <x:tableColumn id="14" name="牆鐘分鐘"/>
    <x:tableColumn id="15" name="暫停分鐘"/>
    <x:tableColumn id="16" name="完成狀態"/>
    <x:tableColumn id="17" name="跳過任何階段？"/>
    <x:tableColumn id="18" name="跳過階段"/>
    <x:tableColumn id="19" name="最高提示等級"/>
    <x:tableColumn id="20" name="重聽次數"/>
    <x:tableColumn id="21" name="查詞次數"/>
    <x:tableColumn id="22" name="理解題答對數"/>
    <x:tableColumn id="23" name="理解題總題數"/>
    <x:tableColumn id="24" name="首次有效學習者（公式）"/>
    <x:tableColumn id="25" name="技術阻礙（不含個資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tempts" displayName="ValidAttempts" ref="A1:O51" headerRowCount="1" totalsRowCount="0" totalsRowShown="0">
  <x:tableColumns count="15">
    <x:tableColumn id="1" name="試次代碼"/>
    <x:tableColumn id="2" name="程度"/>
    <x:tableColumn id="3" name="匿名學習者代碼"/>
    <x:tableColumn id="4" name="字詞暖身（分鐘）"/>
    <x:tableColumn id="5" name="首次完整聽讀（分鐘）"/>
    <x:tableColumn id="6" name="核心句精聽（分鐘）"/>
    <x:tableColumn id="7" name="理解檢核（分鐘）"/>
    <x:tableColumn id="8" name="開口輸出（分鐘）"/>
    <x:tableColumn id="9" name="回顧收尾（分鐘）"/>
    <x:tableColumn id="10" name="有效總分鐘"/>
    <x:tableColumn id="11" name="是否跳過階段（1／0）"/>
    <x:tableColumn id="12" name="重聽次數"/>
    <x:tableColumn id="13" name="查詞次數"/>
    <x:tableColumn id="14" name="理解題答對數"/>
    <x:tableColumn id="15" name="理解題總題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7b188c358046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2cc9603bbc45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6" hidden="0" customWidth="1"/>
    <x:col min="4" max="4" width="20" hidden="0" customWidth="1"/>
    <x:col min="5" max="5" width="12" hidden="0" customWidth="1"/>
    <x:col min="6" max="6" width="17" hidden="0" customWidth="1"/>
    <x:col min="7" max="7" width="15" hidden="0" customWidth="1"/>
    <x:col min="8" max="8" width="18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2" hidden="0" customWidth="1"/>
    <x:col min="15" max="15" width="12" hidden="0" customWidth="1"/>
    <x:col min="16" max="16" width="12" hidden="0" customWidth="1"/>
    <x:col min="17" max="17" width="15" hidden="0" customWidth="1"/>
    <x:col min="18" max="18" width="16" hidden="0" customWidth="1"/>
    <x:col min="19" max="19" width="14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8" hidden="0" customWidth="1"/>
    <x:col min="25" max="25" width="28" hidden="0" customWidth="1"/>
  </x:cols>
  <x:sheetData>
    <x:row r="1" ht="42" customHeight="1">
      <x:c r="A1" s="5" t="str">
        <x:v>試次代碼</x:v>
      </x:c>
      <x:c r="B1" s="5" t="str">
        <x:v>程度</x:v>
      </x:c>
      <x:c r="C1" s="5" t="str">
        <x:v>匿名學習者代碼</x:v>
      </x:c>
      <x:c r="D1" s="5" t="str">
        <x:v>課程 ID／課型</x:v>
      </x:c>
      <x:c r="E1" s="5" t="str">
        <x:v>核心句數</x:v>
      </x:c>
      <x:c r="F1" s="5" t="str">
        <x:v>試用月份 YYYY-MM（選填）</x:v>
      </x:c>
      <x:c r="G1" s="5" t="str">
        <x:v>字詞暖身（分鐘）</x:v>
      </x:c>
      <x:c r="H1" s="5" t="str">
        <x:v>首次完整聽讀（分鐘）</x:v>
      </x:c>
      <x:c r="I1" s="5" t="str">
        <x:v>核心句精聽（分鐘）</x:v>
      </x:c>
      <x:c r="J1" s="5" t="str">
        <x:v>理解檢核（分鐘）</x:v>
      </x:c>
      <x:c r="K1" s="5" t="str">
        <x:v>開口輸出（分鐘）</x:v>
      </x:c>
      <x:c r="L1" s="5" t="str">
        <x:v>回顧收尾（分鐘）</x:v>
      </x:c>
      <x:c r="M1" s="5" t="str">
        <x:v>有效總分鐘（公式）</x:v>
      </x:c>
      <x:c r="N1" s="5" t="str">
        <x:v>牆鐘分鐘</x:v>
      </x:c>
      <x:c r="O1" s="5" t="str">
        <x:v>暫停分鐘</x:v>
      </x:c>
      <x:c r="P1" s="5" t="str">
        <x:v>完成狀態</x:v>
      </x:c>
      <x:c r="Q1" s="5" t="str">
        <x:v>跳過任何階段？</x:v>
      </x:c>
      <x:c r="R1" s="5" t="str">
        <x:v>跳過階段</x:v>
      </x:c>
      <x:c r="S1" s="5" t="str">
        <x:v>最高提示等級</x:v>
      </x:c>
      <x:c r="T1" s="5" t="str">
        <x:v>重聽次數</x:v>
      </x:c>
      <x:c r="U1" s="5" t="str">
        <x:v>查詞次數</x:v>
      </x:c>
      <x:c r="V1" s="5" t="str">
        <x:v>理解題答對數</x:v>
      </x:c>
      <x:c r="W1" s="5" t="str">
        <x:v>理解題總題數</x:v>
      </x:c>
      <x:c r="X1" s="5" t="str">
        <x:v>首次有效學習者（公式）</x:v>
      </x:c>
      <x:c r="Y1" s="5" t="str">
        <x:v>技術阻礙（不含個資）</x:v>
      </x:c>
    </x:row>
    <x:row r="2">
      <x:c r="A2" s="1" t="str">
        <x:v>L1-01</x:v>
      </x:c>
      <x:c r="B2" s="1" t="str">
        <x:v>L1</x:v>
      </x:c>
      <x:c r="C2" s="6"/>
      <x:c r="D2" s="6"/>
      <x:c r="E2" s="8"/>
      <x:c r="F2" s="6"/>
      <x:c r="G2" s="9"/>
      <x:c r="H2" s="9"/>
      <x:c r="I2" s="9"/>
      <x:c r="J2" s="9"/>
      <x:c r="K2" s="9"/>
      <x:c r="L2" s="9"/>
      <x:c r="M2" s="10" t="str">
        <x:f>IF(AND(P2="完成",COUNT(G2:L2)=6,C2&lt;&gt;""),SUM(G2:L2),"")</x:f>
      </x:c>
      <x:c r="N2" s="9"/>
      <x:c r="O2" s="9"/>
      <x:c r="P2" s="6"/>
      <x:c r="Q2" s="6"/>
      <x:c r="R2" s="6"/>
      <x:c r="S2" s="6"/>
      <x:c r="T2" s="8"/>
      <x:c r="U2" s="8"/>
      <x:c r="V2" s="8"/>
      <x:c r="W2" s="8"/>
      <x:c r="X2" s="11" t="str">
        <x:f>IF(C2="","",IF(M2="",0,IF(COUNTIFS($B$2:B2,B2,$C$2:C2,C2,$M$2:M2,"&gt;=0")=1,1,0)))</x:f>
      </x:c>
      <x:c r="Y2" s="1"/>
    </x:row>
    <x:row r="3">
      <x:c r="A3" s="1" t="str">
        <x:v>L1-02</x:v>
      </x:c>
      <x:c r="B3" s="1" t="str">
        <x:v>L1</x:v>
      </x:c>
      <x:c r="C3" s="6"/>
      <x:c r="D3" s="6"/>
      <x:c r="E3" s="8"/>
      <x:c r="F3" s="6"/>
      <x:c r="G3" s="9"/>
      <x:c r="H3" s="9"/>
      <x:c r="I3" s="9"/>
      <x:c r="J3" s="9"/>
      <x:c r="K3" s="9"/>
      <x:c r="L3" s="9"/>
      <x:c r="M3" s="10" t="str">
        <x:f>IF(AND(P3="完成",COUNT(G3:L3)=6,C3&lt;&gt;""),SUM(G3:L3),"")</x:f>
      </x:c>
      <x:c r="N3" s="9"/>
      <x:c r="O3" s="9"/>
      <x:c r="P3" s="6"/>
      <x:c r="Q3" s="6"/>
      <x:c r="R3" s="6"/>
      <x:c r="S3" s="6"/>
      <x:c r="T3" s="8"/>
      <x:c r="U3" s="8"/>
      <x:c r="V3" s="8"/>
      <x:c r="W3" s="8"/>
      <x:c r="X3" s="11" t="str">
        <x:f>IF(C3="","",IF(M3="",0,IF(COUNTIFS($B$2:B3,B3,$C$2:C3,C3,$M$2:M3,"&gt;=0")=1,1,0)))</x:f>
      </x:c>
      <x:c r="Y3" s="1"/>
    </x:row>
    <x:row r="4">
      <x:c r="A4" s="1" t="str">
        <x:v>L1-03</x:v>
      </x:c>
      <x:c r="B4" s="1" t="str">
        <x:v>L1</x:v>
      </x:c>
      <x:c r="C4" s="6"/>
      <x:c r="D4" s="6"/>
      <x:c r="E4" s="8"/>
      <x:c r="F4" s="6"/>
      <x:c r="G4" s="9"/>
      <x:c r="H4" s="9"/>
      <x:c r="I4" s="9"/>
      <x:c r="J4" s="9"/>
      <x:c r="K4" s="9"/>
      <x:c r="L4" s="9"/>
      <x:c r="M4" s="10" t="str">
        <x:f>IF(AND(P4="完成",COUNT(G4:L4)=6,C4&lt;&gt;""),SUM(G4:L4),"")</x:f>
      </x:c>
      <x:c r="N4" s="9"/>
      <x:c r="O4" s="9"/>
      <x:c r="P4" s="6"/>
      <x:c r="Q4" s="6"/>
      <x:c r="R4" s="6"/>
      <x:c r="S4" s="6"/>
      <x:c r="T4" s="8"/>
      <x:c r="U4" s="8"/>
      <x:c r="V4" s="8"/>
      <x:c r="W4" s="8"/>
      <x:c r="X4" s="11" t="str">
        <x:f>IF(C4="","",IF(M4="",0,IF(COUNTIFS($B$2:B4,B4,$C$2:C4,C4,$M$2:M4,"&gt;=0")=1,1,0)))</x:f>
      </x:c>
      <x:c r="Y4" s="1"/>
    </x:row>
    <x:row r="5">
      <x:c r="A5" s="1" t="str">
        <x:v>L1-04</x:v>
      </x:c>
      <x:c r="B5" s="1" t="str">
        <x:v>L1</x:v>
      </x:c>
      <x:c r="C5" s="6"/>
      <x:c r="D5" s="6"/>
      <x:c r="E5" s="8"/>
      <x:c r="F5" s="6"/>
      <x:c r="G5" s="9"/>
      <x:c r="H5" s="9"/>
      <x:c r="I5" s="9"/>
      <x:c r="J5" s="9"/>
      <x:c r="K5" s="9"/>
      <x:c r="L5" s="9"/>
      <x:c r="M5" s="10" t="str">
        <x:f>IF(AND(P5="完成",COUNT(G5:L5)=6,C5&lt;&gt;""),SUM(G5:L5),"")</x:f>
      </x:c>
      <x:c r="N5" s="9"/>
      <x:c r="O5" s="9"/>
      <x:c r="P5" s="6"/>
      <x:c r="Q5" s="6"/>
      <x:c r="R5" s="6"/>
      <x:c r="S5" s="6"/>
      <x:c r="T5" s="8"/>
      <x:c r="U5" s="8"/>
      <x:c r="V5" s="8"/>
      <x:c r="W5" s="8"/>
      <x:c r="X5" s="11" t="str">
        <x:f>IF(C5="","",IF(M5="",0,IF(COUNTIFS($B$2:B5,B5,$C$2:C5,C5,$M$2:M5,"&gt;=0")=1,1,0)))</x:f>
      </x:c>
      <x:c r="Y5" s="1"/>
    </x:row>
    <x:row r="6">
      <x:c r="A6" s="1" t="str">
        <x:v>L1-05</x:v>
      </x:c>
      <x:c r="B6" s="1" t="str">
        <x:v>L1</x:v>
      </x:c>
      <x:c r="C6" s="6"/>
      <x:c r="D6" s="6"/>
      <x:c r="E6" s="8"/>
      <x:c r="F6" s="6"/>
      <x:c r="G6" s="9"/>
      <x:c r="H6" s="9"/>
      <x:c r="I6" s="9"/>
      <x:c r="J6" s="9"/>
      <x:c r="K6" s="9"/>
      <x:c r="L6" s="9"/>
      <x:c r="M6" s="10" t="str">
        <x:f>IF(AND(P6="完成",COUNT(G6:L6)=6,C6&lt;&gt;""),SUM(G6:L6),"")</x:f>
      </x:c>
      <x:c r="N6" s="9"/>
      <x:c r="O6" s="9"/>
      <x:c r="P6" s="6"/>
      <x:c r="Q6" s="6"/>
      <x:c r="R6" s="6"/>
      <x:c r="S6" s="6"/>
      <x:c r="T6" s="8"/>
      <x:c r="U6" s="8"/>
      <x:c r="V6" s="8"/>
      <x:c r="W6" s="8"/>
      <x:c r="X6" s="11" t="str">
        <x:f>IF(C6="","",IF(M6="",0,IF(COUNTIFS($B$2:B6,B6,$C$2:C6,C6,$M$2:M6,"&gt;=0")=1,1,0)))</x:f>
      </x:c>
      <x:c r="Y6" s="1"/>
    </x:row>
    <x:row r="7">
      <x:c r="A7" s="1" t="str">
        <x:v>L1-06</x:v>
      </x:c>
      <x:c r="B7" s="1" t="str">
        <x:v>L1</x:v>
      </x:c>
      <x:c r="C7" s="6"/>
      <x:c r="D7" s="6"/>
      <x:c r="E7" s="8"/>
      <x:c r="F7" s="6"/>
      <x:c r="G7" s="9"/>
      <x:c r="H7" s="9"/>
      <x:c r="I7" s="9"/>
      <x:c r="J7" s="9"/>
      <x:c r="K7" s="9"/>
      <x:c r="L7" s="9"/>
      <x:c r="M7" s="10" t="str">
        <x:f>IF(AND(P7="完成",COUNT(G7:L7)=6,C7&lt;&gt;""),SUM(G7:L7),"")</x:f>
      </x:c>
      <x:c r="N7" s="9"/>
      <x:c r="O7" s="9"/>
      <x:c r="P7" s="6"/>
      <x:c r="Q7" s="6"/>
      <x:c r="R7" s="6"/>
      <x:c r="S7" s="6"/>
      <x:c r="T7" s="8"/>
      <x:c r="U7" s="8"/>
      <x:c r="V7" s="8"/>
      <x:c r="W7" s="8"/>
      <x:c r="X7" s="11" t="str">
        <x:f>IF(C7="","",IF(M7="",0,IF(COUNTIFS($B$2:B7,B7,$C$2:C7,C7,$M$2:M7,"&gt;=0")=1,1,0)))</x:f>
      </x:c>
      <x:c r="Y7" s="1"/>
    </x:row>
    <x:row r="8">
      <x:c r="A8" s="1" t="str">
        <x:v>L1-07</x:v>
      </x:c>
      <x:c r="B8" s="1" t="str">
        <x:v>L1</x:v>
      </x:c>
      <x:c r="C8" s="6"/>
      <x:c r="D8" s="6"/>
      <x:c r="E8" s="8"/>
      <x:c r="F8" s="6"/>
      <x:c r="G8" s="9"/>
      <x:c r="H8" s="9"/>
      <x:c r="I8" s="9"/>
      <x:c r="J8" s="9"/>
      <x:c r="K8" s="9"/>
      <x:c r="L8" s="9"/>
      <x:c r="M8" s="10" t="str">
        <x:f>IF(AND(P8="完成",COUNT(G8:L8)=6,C8&lt;&gt;""),SUM(G8:L8),"")</x:f>
      </x:c>
      <x:c r="N8" s="9"/>
      <x:c r="O8" s="9"/>
      <x:c r="P8" s="6"/>
      <x:c r="Q8" s="6"/>
      <x:c r="R8" s="6"/>
      <x:c r="S8" s="6"/>
      <x:c r="T8" s="8"/>
      <x:c r="U8" s="8"/>
      <x:c r="V8" s="8"/>
      <x:c r="W8" s="8"/>
      <x:c r="X8" s="11" t="str">
        <x:f>IF(C8="","",IF(M8="",0,IF(COUNTIFS($B$2:B8,B8,$C$2:C8,C8,$M$2:M8,"&gt;=0")=1,1,0)))</x:f>
      </x:c>
      <x:c r="Y8" s="1"/>
    </x:row>
    <x:row r="9">
      <x:c r="A9" s="1" t="str">
        <x:v>L1-08</x:v>
      </x:c>
      <x:c r="B9" s="1" t="str">
        <x:v>L1</x:v>
      </x:c>
      <x:c r="C9" s="6"/>
      <x:c r="D9" s="6"/>
      <x:c r="E9" s="8"/>
      <x:c r="F9" s="6"/>
      <x:c r="G9" s="9"/>
      <x:c r="H9" s="9"/>
      <x:c r="I9" s="9"/>
      <x:c r="J9" s="9"/>
      <x:c r="K9" s="9"/>
      <x:c r="L9" s="9"/>
      <x:c r="M9" s="10" t="str">
        <x:f>IF(AND(P9="完成",COUNT(G9:L9)=6,C9&lt;&gt;""),SUM(G9:L9),"")</x:f>
      </x:c>
      <x:c r="N9" s="9"/>
      <x:c r="O9" s="9"/>
      <x:c r="P9" s="6"/>
      <x:c r="Q9" s="6"/>
      <x:c r="R9" s="6"/>
      <x:c r="S9" s="6"/>
      <x:c r="T9" s="8"/>
      <x:c r="U9" s="8"/>
      <x:c r="V9" s="8"/>
      <x:c r="W9" s="8"/>
      <x:c r="X9" s="11" t="str">
        <x:f>IF(C9="","",IF(M9="",0,IF(COUNTIFS($B$2:B9,B9,$C$2:C9,C9,$M$2:M9,"&gt;=0")=1,1,0)))</x:f>
      </x:c>
      <x:c r="Y9" s="1"/>
    </x:row>
    <x:row r="10">
      <x:c r="A10" s="1" t="str">
        <x:v>L1-09</x:v>
      </x:c>
      <x:c r="B10" s="1" t="str">
        <x:v>L1</x:v>
      </x:c>
      <x:c r="C10" s="6"/>
      <x:c r="D10" s="6"/>
      <x:c r="E10" s="8"/>
      <x:c r="F10" s="6"/>
      <x:c r="G10" s="9"/>
      <x:c r="H10" s="9"/>
      <x:c r="I10" s="9"/>
      <x:c r="J10" s="9"/>
      <x:c r="K10" s="9"/>
      <x:c r="L10" s="9"/>
      <x:c r="M10" s="10" t="str">
        <x:f>IF(AND(P10="完成",COUNT(G10:L10)=6,C10&lt;&gt;""),SUM(G10:L10),"")</x:f>
      </x:c>
      <x:c r="N10" s="9"/>
      <x:c r="O10" s="9"/>
      <x:c r="P10" s="6"/>
      <x:c r="Q10" s="6"/>
      <x:c r="R10" s="6"/>
      <x:c r="S10" s="6"/>
      <x:c r="T10" s="8"/>
      <x:c r="U10" s="8"/>
      <x:c r="V10" s="8"/>
      <x:c r="W10" s="8"/>
      <x:c r="X10" s="11" t="str">
        <x:f>IF(C10="","",IF(M10="",0,IF(COUNTIFS($B$2:B10,B10,$C$2:C10,C10,$M$2:M10,"&gt;=0")=1,1,0)))</x:f>
      </x:c>
      <x:c r="Y10" s="1"/>
    </x:row>
    <x:row r="11">
      <x:c r="A11" s="1" t="str">
        <x:v>L1-10</x:v>
      </x:c>
      <x:c r="B11" s="1" t="str">
        <x:v>L1</x:v>
      </x:c>
      <x:c r="C11" s="6"/>
      <x:c r="D11" s="6"/>
      <x:c r="E11" s="8"/>
      <x:c r="F11" s="6"/>
      <x:c r="G11" s="9"/>
      <x:c r="H11" s="9"/>
      <x:c r="I11" s="9"/>
      <x:c r="J11" s="9"/>
      <x:c r="K11" s="9"/>
      <x:c r="L11" s="9"/>
      <x:c r="M11" s="10" t="str">
        <x:f>IF(AND(P11="完成",COUNT(G11:L11)=6,C11&lt;&gt;""),SUM(G11:L11),"")</x:f>
      </x:c>
      <x:c r="N11" s="9"/>
      <x:c r="O11" s="9"/>
      <x:c r="P11" s="6"/>
      <x:c r="Q11" s="6"/>
      <x:c r="R11" s="6"/>
      <x:c r="S11" s="6"/>
      <x:c r="T11" s="8"/>
      <x:c r="U11" s="8"/>
      <x:c r="V11" s="8"/>
      <x:c r="W11" s="8"/>
      <x:c r="X11" s="11" t="str">
        <x:f>IF(C11="","",IF(M11="",0,IF(COUNTIFS($B$2:B11,B11,$C$2:C11,C11,$M$2:M11,"&gt;=0")=1,1,0)))</x:f>
      </x:c>
      <x:c r="Y11" s="1"/>
    </x:row>
    <x:row r="12">
      <x:c r="A12" s="1" t="str">
        <x:v>L2-01</x:v>
      </x:c>
      <x:c r="B12" s="1" t="str">
        <x:v>L2</x:v>
      </x:c>
      <x:c r="C12" s="6"/>
      <x:c r="D12" s="6"/>
      <x:c r="E12" s="8"/>
      <x:c r="F12" s="6"/>
      <x:c r="G12" s="9"/>
      <x:c r="H12" s="9"/>
      <x:c r="I12" s="9"/>
      <x:c r="J12" s="9"/>
      <x:c r="K12" s="9"/>
      <x:c r="L12" s="9"/>
      <x:c r="M12" s="10" t="str">
        <x:f>IF(AND(P12="完成",COUNT(G12:L12)=6,C12&lt;&gt;""),SUM(G12:L12),"")</x:f>
      </x:c>
      <x:c r="N12" s="9"/>
      <x:c r="O12" s="9"/>
      <x:c r="P12" s="6"/>
      <x:c r="Q12" s="6"/>
      <x:c r="R12" s="6"/>
      <x:c r="S12" s="6"/>
      <x:c r="T12" s="8"/>
      <x:c r="U12" s="8"/>
      <x:c r="V12" s="8"/>
      <x:c r="W12" s="8"/>
      <x:c r="X12" s="11" t="str">
        <x:f>IF(C12="","",IF(M12="",0,IF(COUNTIFS($B$2:B12,B12,$C$2:C12,C12,$M$2:M12,"&gt;=0")=1,1,0)))</x:f>
      </x:c>
      <x:c r="Y12" s="1"/>
    </x:row>
    <x:row r="13">
      <x:c r="A13" s="1" t="str">
        <x:v>L2-02</x:v>
      </x:c>
      <x:c r="B13" s="1" t="str">
        <x:v>L2</x:v>
      </x:c>
      <x:c r="C13" s="6"/>
      <x:c r="D13" s="6"/>
      <x:c r="E13" s="8"/>
      <x:c r="F13" s="6"/>
      <x:c r="G13" s="9"/>
      <x:c r="H13" s="9"/>
      <x:c r="I13" s="9"/>
      <x:c r="J13" s="9"/>
      <x:c r="K13" s="9"/>
      <x:c r="L13" s="9"/>
      <x:c r="M13" s="10" t="str">
        <x:f>IF(AND(P13="完成",COUNT(G13:L13)=6,C13&lt;&gt;""),SUM(G13:L13),"")</x:f>
      </x:c>
      <x:c r="N13" s="9"/>
      <x:c r="O13" s="9"/>
      <x:c r="P13" s="6"/>
      <x:c r="Q13" s="6"/>
      <x:c r="R13" s="6"/>
      <x:c r="S13" s="6"/>
      <x:c r="T13" s="8"/>
      <x:c r="U13" s="8"/>
      <x:c r="V13" s="8"/>
      <x:c r="W13" s="8"/>
      <x:c r="X13" s="11" t="str">
        <x:f>IF(C13="","",IF(M13="",0,IF(COUNTIFS($B$2:B13,B13,$C$2:C13,C13,$M$2:M13,"&gt;=0")=1,1,0)))</x:f>
      </x:c>
      <x:c r="Y13" s="1"/>
    </x:row>
    <x:row r="14">
      <x:c r="A14" s="1" t="str">
        <x:v>L2-03</x:v>
      </x:c>
      <x:c r="B14" s="1" t="str">
        <x:v>L2</x:v>
      </x:c>
      <x:c r="C14" s="6"/>
      <x:c r="D14" s="6"/>
      <x:c r="E14" s="8"/>
      <x:c r="F14" s="6"/>
      <x:c r="G14" s="9"/>
      <x:c r="H14" s="9"/>
      <x:c r="I14" s="9"/>
      <x:c r="J14" s="9"/>
      <x:c r="K14" s="9"/>
      <x:c r="L14" s="9"/>
      <x:c r="M14" s="10" t="str">
        <x:f>IF(AND(P14="完成",COUNT(G14:L14)=6,C14&lt;&gt;""),SUM(G14:L14),"")</x:f>
      </x:c>
      <x:c r="N14" s="9"/>
      <x:c r="O14" s="9"/>
      <x:c r="P14" s="6"/>
      <x:c r="Q14" s="6"/>
      <x:c r="R14" s="6"/>
      <x:c r="S14" s="6"/>
      <x:c r="T14" s="8"/>
      <x:c r="U14" s="8"/>
      <x:c r="V14" s="8"/>
      <x:c r="W14" s="8"/>
      <x:c r="X14" s="11" t="str">
        <x:f>IF(C14="","",IF(M14="",0,IF(COUNTIFS($B$2:B14,B14,$C$2:C14,C14,$M$2:M14,"&gt;=0")=1,1,0)))</x:f>
      </x:c>
      <x:c r="Y14" s="1"/>
    </x:row>
    <x:row r="15">
      <x:c r="A15" s="1" t="str">
        <x:v>L2-04</x:v>
      </x:c>
      <x:c r="B15" s="1" t="str">
        <x:v>L2</x:v>
      </x:c>
      <x:c r="C15" s="6"/>
      <x:c r="D15" s="6"/>
      <x:c r="E15" s="8"/>
      <x:c r="F15" s="6"/>
      <x:c r="G15" s="9"/>
      <x:c r="H15" s="9"/>
      <x:c r="I15" s="9"/>
      <x:c r="J15" s="9"/>
      <x:c r="K15" s="9"/>
      <x:c r="L15" s="9"/>
      <x:c r="M15" s="10" t="str">
        <x:f>IF(AND(P15="完成",COUNT(G15:L15)=6,C15&lt;&gt;""),SUM(G15:L15),"")</x:f>
      </x:c>
      <x:c r="N15" s="9"/>
      <x:c r="O15" s="9"/>
      <x:c r="P15" s="6"/>
      <x:c r="Q15" s="6"/>
      <x:c r="R15" s="6"/>
      <x:c r="S15" s="6"/>
      <x:c r="T15" s="8"/>
      <x:c r="U15" s="8"/>
      <x:c r="V15" s="8"/>
      <x:c r="W15" s="8"/>
      <x:c r="X15" s="11" t="str">
        <x:f>IF(C15="","",IF(M15="",0,IF(COUNTIFS($B$2:B15,B15,$C$2:C15,C15,$M$2:M15,"&gt;=0")=1,1,0)))</x:f>
      </x:c>
      <x:c r="Y15" s="1"/>
    </x:row>
    <x:row r="16">
      <x:c r="A16" s="1" t="str">
        <x:v>L2-05</x:v>
      </x:c>
      <x:c r="B16" s="1" t="str">
        <x:v>L2</x:v>
      </x:c>
      <x:c r="C16" s="6"/>
      <x:c r="D16" s="6"/>
      <x:c r="E16" s="8"/>
      <x:c r="F16" s="6"/>
      <x:c r="G16" s="9"/>
      <x:c r="H16" s="9"/>
      <x:c r="I16" s="9"/>
      <x:c r="J16" s="9"/>
      <x:c r="K16" s="9"/>
      <x:c r="L16" s="9"/>
      <x:c r="M16" s="10" t="str">
        <x:f>IF(AND(P16="完成",COUNT(G16:L16)=6,C16&lt;&gt;""),SUM(G16:L16),"")</x:f>
      </x:c>
      <x:c r="N16" s="9"/>
      <x:c r="O16" s="9"/>
      <x:c r="P16" s="6"/>
      <x:c r="Q16" s="6"/>
      <x:c r="R16" s="6"/>
      <x:c r="S16" s="6"/>
      <x:c r="T16" s="8"/>
      <x:c r="U16" s="8"/>
      <x:c r="V16" s="8"/>
      <x:c r="W16" s="8"/>
      <x:c r="X16" s="11" t="str">
        <x:f>IF(C16="","",IF(M16="",0,IF(COUNTIFS($B$2:B16,B16,$C$2:C16,C16,$M$2:M16,"&gt;=0")=1,1,0)))</x:f>
      </x:c>
      <x:c r="Y16" s="1"/>
    </x:row>
    <x:row r="17">
      <x:c r="A17" s="1" t="str">
        <x:v>L2-06</x:v>
      </x:c>
      <x:c r="B17" s="1" t="str">
        <x:v>L2</x:v>
      </x:c>
      <x:c r="C17" s="6"/>
      <x:c r="D17" s="6"/>
      <x:c r="E17" s="8"/>
      <x:c r="F17" s="6"/>
      <x:c r="G17" s="9"/>
      <x:c r="H17" s="9"/>
      <x:c r="I17" s="9"/>
      <x:c r="J17" s="9"/>
      <x:c r="K17" s="9"/>
      <x:c r="L17" s="9"/>
      <x:c r="M17" s="10" t="str">
        <x:f>IF(AND(P17="完成",COUNT(G17:L17)=6,C17&lt;&gt;""),SUM(G17:L17),"")</x:f>
      </x:c>
      <x:c r="N17" s="9"/>
      <x:c r="O17" s="9"/>
      <x:c r="P17" s="6"/>
      <x:c r="Q17" s="6"/>
      <x:c r="R17" s="6"/>
      <x:c r="S17" s="6"/>
      <x:c r="T17" s="8"/>
      <x:c r="U17" s="8"/>
      <x:c r="V17" s="8"/>
      <x:c r="W17" s="8"/>
      <x:c r="X17" s="11" t="str">
        <x:f>IF(C17="","",IF(M17="",0,IF(COUNTIFS($B$2:B17,B17,$C$2:C17,C17,$M$2:M17,"&gt;=0")=1,1,0)))</x:f>
      </x:c>
      <x:c r="Y17" s="1"/>
    </x:row>
    <x:row r="18">
      <x:c r="A18" s="1" t="str">
        <x:v>L2-07</x:v>
      </x:c>
      <x:c r="B18" s="1" t="str">
        <x:v>L2</x:v>
      </x:c>
      <x:c r="C18" s="6"/>
      <x:c r="D18" s="6"/>
      <x:c r="E18" s="8"/>
      <x:c r="F18" s="6"/>
      <x:c r="G18" s="9"/>
      <x:c r="H18" s="9"/>
      <x:c r="I18" s="9"/>
      <x:c r="J18" s="9"/>
      <x:c r="K18" s="9"/>
      <x:c r="L18" s="9"/>
      <x:c r="M18" s="10" t="str">
        <x:f>IF(AND(P18="完成",COUNT(G18:L18)=6,C18&lt;&gt;""),SUM(G18:L18),"")</x:f>
      </x:c>
      <x:c r="N18" s="9"/>
      <x:c r="O18" s="9"/>
      <x:c r="P18" s="6"/>
      <x:c r="Q18" s="6"/>
      <x:c r="R18" s="6"/>
      <x:c r="S18" s="6"/>
      <x:c r="T18" s="8"/>
      <x:c r="U18" s="8"/>
      <x:c r="V18" s="8"/>
      <x:c r="W18" s="8"/>
      <x:c r="X18" s="11" t="str">
        <x:f>IF(C18="","",IF(M18="",0,IF(COUNTIFS($B$2:B18,B18,$C$2:C18,C18,$M$2:M18,"&gt;=0")=1,1,0)))</x:f>
      </x:c>
      <x:c r="Y18" s="1"/>
    </x:row>
    <x:row r="19">
      <x:c r="A19" s="1" t="str">
        <x:v>L2-08</x:v>
      </x:c>
      <x:c r="B19" s="1" t="str">
        <x:v>L2</x:v>
      </x:c>
      <x:c r="C19" s="6"/>
      <x:c r="D19" s="6"/>
      <x:c r="E19" s="8"/>
      <x:c r="F19" s="6"/>
      <x:c r="G19" s="9"/>
      <x:c r="H19" s="9"/>
      <x:c r="I19" s="9"/>
      <x:c r="J19" s="9"/>
      <x:c r="K19" s="9"/>
      <x:c r="L19" s="9"/>
      <x:c r="M19" s="10" t="str">
        <x:f>IF(AND(P19="完成",COUNT(G19:L19)=6,C19&lt;&gt;""),SUM(G19:L19),"")</x:f>
      </x:c>
      <x:c r="N19" s="9"/>
      <x:c r="O19" s="9"/>
      <x:c r="P19" s="6"/>
      <x:c r="Q19" s="6"/>
      <x:c r="R19" s="6"/>
      <x:c r="S19" s="6"/>
      <x:c r="T19" s="8"/>
      <x:c r="U19" s="8"/>
      <x:c r="V19" s="8"/>
      <x:c r="W19" s="8"/>
      <x:c r="X19" s="11" t="str">
        <x:f>IF(C19="","",IF(M19="",0,IF(COUNTIFS($B$2:B19,B19,$C$2:C19,C19,$M$2:M19,"&gt;=0")=1,1,0)))</x:f>
      </x:c>
      <x:c r="Y19" s="1"/>
    </x:row>
    <x:row r="20">
      <x:c r="A20" s="1" t="str">
        <x:v>L2-09</x:v>
      </x:c>
      <x:c r="B20" s="1" t="str">
        <x:v>L2</x:v>
      </x:c>
      <x:c r="C20" s="6"/>
      <x:c r="D20" s="6"/>
      <x:c r="E20" s="8"/>
      <x:c r="F20" s="6"/>
      <x:c r="G20" s="9"/>
      <x:c r="H20" s="9"/>
      <x:c r="I20" s="9"/>
      <x:c r="J20" s="9"/>
      <x:c r="K20" s="9"/>
      <x:c r="L20" s="9"/>
      <x:c r="M20" s="10" t="str">
        <x:f>IF(AND(P20="完成",COUNT(G20:L20)=6,C20&lt;&gt;""),SUM(G20:L20),"")</x:f>
      </x:c>
      <x:c r="N20" s="9"/>
      <x:c r="O20" s="9"/>
      <x:c r="P20" s="6"/>
      <x:c r="Q20" s="6"/>
      <x:c r="R20" s="6"/>
      <x:c r="S20" s="6"/>
      <x:c r="T20" s="8"/>
      <x:c r="U20" s="8"/>
      <x:c r="V20" s="8"/>
      <x:c r="W20" s="8"/>
      <x:c r="X20" s="11" t="str">
        <x:f>IF(C20="","",IF(M20="",0,IF(COUNTIFS($B$2:B20,B20,$C$2:C20,C20,$M$2:M20,"&gt;=0")=1,1,0)))</x:f>
      </x:c>
      <x:c r="Y20" s="1"/>
    </x:row>
    <x:row r="21">
      <x:c r="A21" s="1" t="str">
        <x:v>L2-10</x:v>
      </x:c>
      <x:c r="B21" s="1" t="str">
        <x:v>L2</x:v>
      </x:c>
      <x:c r="C21" s="6"/>
      <x:c r="D21" s="6"/>
      <x:c r="E21" s="8"/>
      <x:c r="F21" s="6"/>
      <x:c r="G21" s="9"/>
      <x:c r="H21" s="9"/>
      <x:c r="I21" s="9"/>
      <x:c r="J21" s="9"/>
      <x:c r="K21" s="9"/>
      <x:c r="L21" s="9"/>
      <x:c r="M21" s="10" t="str">
        <x:f>IF(AND(P21="完成",COUNT(G21:L21)=6,C21&lt;&gt;""),SUM(G21:L21),"")</x:f>
      </x:c>
      <x:c r="N21" s="9"/>
      <x:c r="O21" s="9"/>
      <x:c r="P21" s="6"/>
      <x:c r="Q21" s="6"/>
      <x:c r="R21" s="6"/>
      <x:c r="S21" s="6"/>
      <x:c r="T21" s="8"/>
      <x:c r="U21" s="8"/>
      <x:c r="V21" s="8"/>
      <x:c r="W21" s="8"/>
      <x:c r="X21" s="11" t="str">
        <x:f>IF(C21="","",IF(M21="",0,IF(COUNTIFS($B$2:B21,B21,$C$2:C21,C21,$M$2:M21,"&gt;=0")=1,1,0)))</x:f>
      </x:c>
      <x:c r="Y21" s="1"/>
    </x:row>
    <x:row r="22">
      <x:c r="A22" s="1" t="str">
        <x:v>L3-01</x:v>
      </x:c>
      <x:c r="B22" s="1" t="str">
        <x:v>L3</x:v>
      </x:c>
      <x:c r="C22" s="6"/>
      <x:c r="D22" s="6"/>
      <x:c r="E22" s="8"/>
      <x:c r="F22" s="6"/>
      <x:c r="G22" s="9"/>
      <x:c r="H22" s="9"/>
      <x:c r="I22" s="9"/>
      <x:c r="J22" s="9"/>
      <x:c r="K22" s="9"/>
      <x:c r="L22" s="9"/>
      <x:c r="M22" s="10" t="str">
        <x:f>IF(AND(P22="完成",COUNT(G22:L22)=6,C22&lt;&gt;""),SUM(G22:L22),"")</x:f>
      </x:c>
      <x:c r="N22" s="9"/>
      <x:c r="O22" s="9"/>
      <x:c r="P22" s="6"/>
      <x:c r="Q22" s="6"/>
      <x:c r="R22" s="6"/>
      <x:c r="S22" s="6"/>
      <x:c r="T22" s="8"/>
      <x:c r="U22" s="8"/>
      <x:c r="V22" s="8"/>
      <x:c r="W22" s="8"/>
      <x:c r="X22" s="11" t="str">
        <x:f>IF(C22="","",IF(M22="",0,IF(COUNTIFS($B$2:B22,B22,$C$2:C22,C22,$M$2:M22,"&gt;=0")=1,1,0)))</x:f>
      </x:c>
      <x:c r="Y22" s="1"/>
    </x:row>
    <x:row r="23">
      <x:c r="A23" s="1" t="str">
        <x:v>L3-02</x:v>
      </x:c>
      <x:c r="B23" s="1" t="str">
        <x:v>L3</x:v>
      </x:c>
      <x:c r="C23" s="6"/>
      <x:c r="D23" s="6"/>
      <x:c r="E23" s="8"/>
      <x:c r="F23" s="6"/>
      <x:c r="G23" s="9"/>
      <x:c r="H23" s="9"/>
      <x:c r="I23" s="9"/>
      <x:c r="J23" s="9"/>
      <x:c r="K23" s="9"/>
      <x:c r="L23" s="9"/>
      <x:c r="M23" s="10" t="str">
        <x:f>IF(AND(P23="完成",COUNT(G23:L23)=6,C23&lt;&gt;""),SUM(G23:L23),"")</x:f>
      </x:c>
      <x:c r="N23" s="9"/>
      <x:c r="O23" s="9"/>
      <x:c r="P23" s="6"/>
      <x:c r="Q23" s="6"/>
      <x:c r="R23" s="6"/>
      <x:c r="S23" s="6"/>
      <x:c r="T23" s="8"/>
      <x:c r="U23" s="8"/>
      <x:c r="V23" s="8"/>
      <x:c r="W23" s="8"/>
      <x:c r="X23" s="11" t="str">
        <x:f>IF(C23="","",IF(M23="",0,IF(COUNTIFS($B$2:B23,B23,$C$2:C23,C23,$M$2:M23,"&gt;=0")=1,1,0)))</x:f>
      </x:c>
      <x:c r="Y23" s="1"/>
    </x:row>
    <x:row r="24">
      <x:c r="A24" s="1" t="str">
        <x:v>L3-03</x:v>
      </x:c>
      <x:c r="B24" s="1" t="str">
        <x:v>L3</x:v>
      </x:c>
      <x:c r="C24" s="6"/>
      <x:c r="D24" s="6"/>
      <x:c r="E24" s="8"/>
      <x:c r="F24" s="6"/>
      <x:c r="G24" s="9"/>
      <x:c r="H24" s="9"/>
      <x:c r="I24" s="9"/>
      <x:c r="J24" s="9"/>
      <x:c r="K24" s="9"/>
      <x:c r="L24" s="9"/>
      <x:c r="M24" s="10" t="str">
        <x:f>IF(AND(P24="完成",COUNT(G24:L24)=6,C24&lt;&gt;""),SUM(G24:L24),"")</x:f>
      </x:c>
      <x:c r="N24" s="9"/>
      <x:c r="O24" s="9"/>
      <x:c r="P24" s="6"/>
      <x:c r="Q24" s="6"/>
      <x:c r="R24" s="6"/>
      <x:c r="S24" s="6"/>
      <x:c r="T24" s="8"/>
      <x:c r="U24" s="8"/>
      <x:c r="V24" s="8"/>
      <x:c r="W24" s="8"/>
      <x:c r="X24" s="11" t="str">
        <x:f>IF(C24="","",IF(M24="",0,IF(COUNTIFS($B$2:B24,B24,$C$2:C24,C24,$M$2:M24,"&gt;=0")=1,1,0)))</x:f>
      </x:c>
      <x:c r="Y24" s="1"/>
    </x:row>
    <x:row r="25">
      <x:c r="A25" s="1" t="str">
        <x:v>L3-04</x:v>
      </x:c>
      <x:c r="B25" s="1" t="str">
        <x:v>L3</x:v>
      </x:c>
      <x:c r="C25" s="6"/>
      <x:c r="D25" s="6"/>
      <x:c r="E25" s="8"/>
      <x:c r="F25" s="6"/>
      <x:c r="G25" s="9"/>
      <x:c r="H25" s="9"/>
      <x:c r="I25" s="9"/>
      <x:c r="J25" s="9"/>
      <x:c r="K25" s="9"/>
      <x:c r="L25" s="9"/>
      <x:c r="M25" s="10" t="str">
        <x:f>IF(AND(P25="完成",COUNT(G25:L25)=6,C25&lt;&gt;""),SUM(G25:L25),"")</x:f>
      </x:c>
      <x:c r="N25" s="9"/>
      <x:c r="O25" s="9"/>
      <x:c r="P25" s="6"/>
      <x:c r="Q25" s="6"/>
      <x:c r="R25" s="6"/>
      <x:c r="S25" s="6"/>
      <x:c r="T25" s="8"/>
      <x:c r="U25" s="8"/>
      <x:c r="V25" s="8"/>
      <x:c r="W25" s="8"/>
      <x:c r="X25" s="11" t="str">
        <x:f>IF(C25="","",IF(M25="",0,IF(COUNTIFS($B$2:B25,B25,$C$2:C25,C25,$M$2:M25,"&gt;=0")=1,1,0)))</x:f>
      </x:c>
      <x:c r="Y25" s="1"/>
    </x:row>
    <x:row r="26">
      <x:c r="A26" s="1" t="str">
        <x:v>L3-05</x:v>
      </x:c>
      <x:c r="B26" s="1" t="str">
        <x:v>L3</x:v>
      </x:c>
      <x:c r="C26" s="6"/>
      <x:c r="D26" s="6"/>
      <x:c r="E26" s="8"/>
      <x:c r="F26" s="6"/>
      <x:c r="G26" s="9"/>
      <x:c r="H26" s="9"/>
      <x:c r="I26" s="9"/>
      <x:c r="J26" s="9"/>
      <x:c r="K26" s="9"/>
      <x:c r="L26" s="9"/>
      <x:c r="M26" s="10" t="str">
        <x:f>IF(AND(P26="完成",COUNT(G26:L26)=6,C26&lt;&gt;""),SUM(G26:L26),"")</x:f>
      </x:c>
      <x:c r="N26" s="9"/>
      <x:c r="O26" s="9"/>
      <x:c r="P26" s="6"/>
      <x:c r="Q26" s="6"/>
      <x:c r="R26" s="6"/>
      <x:c r="S26" s="6"/>
      <x:c r="T26" s="8"/>
      <x:c r="U26" s="8"/>
      <x:c r="V26" s="8"/>
      <x:c r="W26" s="8"/>
      <x:c r="X26" s="11" t="str">
        <x:f>IF(C26="","",IF(M26="",0,IF(COUNTIFS($B$2:B26,B26,$C$2:C26,C26,$M$2:M26,"&gt;=0")=1,1,0)))</x:f>
      </x:c>
      <x:c r="Y26" s="1"/>
    </x:row>
    <x:row r="27">
      <x:c r="A27" s="1" t="str">
        <x:v>L3-06</x:v>
      </x:c>
      <x:c r="B27" s="1" t="str">
        <x:v>L3</x:v>
      </x:c>
      <x:c r="C27" s="6"/>
      <x:c r="D27" s="6"/>
      <x:c r="E27" s="8"/>
      <x:c r="F27" s="6"/>
      <x:c r="G27" s="9"/>
      <x:c r="H27" s="9"/>
      <x:c r="I27" s="9"/>
      <x:c r="J27" s="9"/>
      <x:c r="K27" s="9"/>
      <x:c r="L27" s="9"/>
      <x:c r="M27" s="10" t="str">
        <x:f>IF(AND(P27="完成",COUNT(G27:L27)=6,C27&lt;&gt;""),SUM(G27:L27),"")</x:f>
      </x:c>
      <x:c r="N27" s="9"/>
      <x:c r="O27" s="9"/>
      <x:c r="P27" s="6"/>
      <x:c r="Q27" s="6"/>
      <x:c r="R27" s="6"/>
      <x:c r="S27" s="6"/>
      <x:c r="T27" s="8"/>
      <x:c r="U27" s="8"/>
      <x:c r="V27" s="8"/>
      <x:c r="W27" s="8"/>
      <x:c r="X27" s="11" t="str">
        <x:f>IF(C27="","",IF(M27="",0,IF(COUNTIFS($B$2:B27,B27,$C$2:C27,C27,$M$2:M27,"&gt;=0")=1,1,0)))</x:f>
      </x:c>
      <x:c r="Y27" s="1"/>
    </x:row>
    <x:row r="28">
      <x:c r="A28" s="1" t="str">
        <x:v>L3-07</x:v>
      </x:c>
      <x:c r="B28" s="1" t="str">
        <x:v>L3</x:v>
      </x:c>
      <x:c r="C28" s="6"/>
      <x:c r="D28" s="6"/>
      <x:c r="E28" s="8"/>
      <x:c r="F28" s="6"/>
      <x:c r="G28" s="9"/>
      <x:c r="H28" s="9"/>
      <x:c r="I28" s="9"/>
      <x:c r="J28" s="9"/>
      <x:c r="K28" s="9"/>
      <x:c r="L28" s="9"/>
      <x:c r="M28" s="10" t="str">
        <x:f>IF(AND(P28="完成",COUNT(G28:L28)=6,C28&lt;&gt;""),SUM(G28:L28),"")</x:f>
      </x:c>
      <x:c r="N28" s="9"/>
      <x:c r="O28" s="9"/>
      <x:c r="P28" s="6"/>
      <x:c r="Q28" s="6"/>
      <x:c r="R28" s="6"/>
      <x:c r="S28" s="6"/>
      <x:c r="T28" s="8"/>
      <x:c r="U28" s="8"/>
      <x:c r="V28" s="8"/>
      <x:c r="W28" s="8"/>
      <x:c r="X28" s="11" t="str">
        <x:f>IF(C28="","",IF(M28="",0,IF(COUNTIFS($B$2:B28,B28,$C$2:C28,C28,$M$2:M28,"&gt;=0")=1,1,0)))</x:f>
      </x:c>
      <x:c r="Y28" s="1"/>
    </x:row>
    <x:row r="29">
      <x:c r="A29" s="1" t="str">
        <x:v>L3-08</x:v>
      </x:c>
      <x:c r="B29" s="1" t="str">
        <x:v>L3</x:v>
      </x:c>
      <x:c r="C29" s="6"/>
      <x:c r="D29" s="6"/>
      <x:c r="E29" s="8"/>
      <x:c r="F29" s="6"/>
      <x:c r="G29" s="9"/>
      <x:c r="H29" s="9"/>
      <x:c r="I29" s="9"/>
      <x:c r="J29" s="9"/>
      <x:c r="K29" s="9"/>
      <x:c r="L29" s="9"/>
      <x:c r="M29" s="10" t="str">
        <x:f>IF(AND(P29="完成",COUNT(G29:L29)=6,C29&lt;&gt;""),SUM(G29:L29),"")</x:f>
      </x:c>
      <x:c r="N29" s="9"/>
      <x:c r="O29" s="9"/>
      <x:c r="P29" s="6"/>
      <x:c r="Q29" s="6"/>
      <x:c r="R29" s="6"/>
      <x:c r="S29" s="6"/>
      <x:c r="T29" s="8"/>
      <x:c r="U29" s="8"/>
      <x:c r="V29" s="8"/>
      <x:c r="W29" s="8"/>
      <x:c r="X29" s="11" t="str">
        <x:f>IF(C29="","",IF(M29="",0,IF(COUNTIFS($B$2:B29,B29,$C$2:C29,C29,$M$2:M29,"&gt;=0")=1,1,0)))</x:f>
      </x:c>
      <x:c r="Y29" s="1"/>
    </x:row>
    <x:row r="30">
      <x:c r="A30" s="1" t="str">
        <x:v>L3-09</x:v>
      </x:c>
      <x:c r="B30" s="1" t="str">
        <x:v>L3</x:v>
      </x:c>
      <x:c r="C30" s="6"/>
      <x:c r="D30" s="6"/>
      <x:c r="E30" s="8"/>
      <x:c r="F30" s="6"/>
      <x:c r="G30" s="9"/>
      <x:c r="H30" s="9"/>
      <x:c r="I30" s="9"/>
      <x:c r="J30" s="9"/>
      <x:c r="K30" s="9"/>
      <x:c r="L30" s="9"/>
      <x:c r="M30" s="10" t="str">
        <x:f>IF(AND(P30="完成",COUNT(G30:L30)=6,C30&lt;&gt;""),SUM(G30:L30),"")</x:f>
      </x:c>
      <x:c r="N30" s="9"/>
      <x:c r="O30" s="9"/>
      <x:c r="P30" s="6"/>
      <x:c r="Q30" s="6"/>
      <x:c r="R30" s="6"/>
      <x:c r="S30" s="6"/>
      <x:c r="T30" s="8"/>
      <x:c r="U30" s="8"/>
      <x:c r="V30" s="8"/>
      <x:c r="W30" s="8"/>
      <x:c r="X30" s="11" t="str">
        <x:f>IF(C30="","",IF(M30="",0,IF(COUNTIFS($B$2:B30,B30,$C$2:C30,C30,$M$2:M30,"&gt;=0")=1,1,0)))</x:f>
      </x:c>
      <x:c r="Y30" s="1"/>
    </x:row>
    <x:row r="31">
      <x:c r="A31" s="1" t="str">
        <x:v>L3-10</x:v>
      </x:c>
      <x:c r="B31" s="1" t="str">
        <x:v>L3</x:v>
      </x:c>
      <x:c r="C31" s="6"/>
      <x:c r="D31" s="6"/>
      <x:c r="E31" s="8"/>
      <x:c r="F31" s="6"/>
      <x:c r="G31" s="9"/>
      <x:c r="H31" s="9"/>
      <x:c r="I31" s="9"/>
      <x:c r="J31" s="9"/>
      <x:c r="K31" s="9"/>
      <x:c r="L31" s="9"/>
      <x:c r="M31" s="10" t="str">
        <x:f>IF(AND(P31="完成",COUNT(G31:L31)=6,C31&lt;&gt;""),SUM(G31:L31),"")</x:f>
      </x:c>
      <x:c r="N31" s="9"/>
      <x:c r="O31" s="9"/>
      <x:c r="P31" s="6"/>
      <x:c r="Q31" s="6"/>
      <x:c r="R31" s="6"/>
      <x:c r="S31" s="6"/>
      <x:c r="T31" s="8"/>
      <x:c r="U31" s="8"/>
      <x:c r="V31" s="8"/>
      <x:c r="W31" s="8"/>
      <x:c r="X31" s="11" t="str">
        <x:f>IF(C31="","",IF(M31="",0,IF(COUNTIFS($B$2:B31,B31,$C$2:C31,C31,$M$2:M31,"&gt;=0")=1,1,0)))</x:f>
      </x:c>
      <x:c r="Y31" s="1"/>
    </x:row>
    <x:row r="32">
      <x:c r="A32" s="1" t="str">
        <x:v>L4-01</x:v>
      </x:c>
      <x:c r="B32" s="1" t="str">
        <x:v>L4</x:v>
      </x:c>
      <x:c r="C32" s="6"/>
      <x:c r="D32" s="6"/>
      <x:c r="E32" s="8"/>
      <x:c r="F32" s="6"/>
      <x:c r="G32" s="9"/>
      <x:c r="H32" s="9"/>
      <x:c r="I32" s="9"/>
      <x:c r="J32" s="9"/>
      <x:c r="K32" s="9"/>
      <x:c r="L32" s="9"/>
      <x:c r="M32" s="10" t="str">
        <x:f>IF(AND(P32="完成",COUNT(G32:L32)=6,C32&lt;&gt;""),SUM(G32:L32),"")</x:f>
      </x:c>
      <x:c r="N32" s="9"/>
      <x:c r="O32" s="9"/>
      <x:c r="P32" s="6"/>
      <x:c r="Q32" s="6"/>
      <x:c r="R32" s="6"/>
      <x:c r="S32" s="6"/>
      <x:c r="T32" s="8"/>
      <x:c r="U32" s="8"/>
      <x:c r="V32" s="8"/>
      <x:c r="W32" s="8"/>
      <x:c r="X32" s="11" t="str">
        <x:f>IF(C32="","",IF(M32="",0,IF(COUNTIFS($B$2:B32,B32,$C$2:C32,C32,$M$2:M32,"&gt;=0")=1,1,0)))</x:f>
      </x:c>
      <x:c r="Y32" s="1"/>
    </x:row>
    <x:row r="33">
      <x:c r="A33" s="1" t="str">
        <x:v>L4-02</x:v>
      </x:c>
      <x:c r="B33" s="1" t="str">
        <x:v>L4</x:v>
      </x:c>
      <x:c r="C33" s="6"/>
      <x:c r="D33" s="6"/>
      <x:c r="E33" s="8"/>
      <x:c r="F33" s="6"/>
      <x:c r="G33" s="9"/>
      <x:c r="H33" s="9"/>
      <x:c r="I33" s="9"/>
      <x:c r="J33" s="9"/>
      <x:c r="K33" s="9"/>
      <x:c r="L33" s="9"/>
      <x:c r="M33" s="10" t="str">
        <x:f>IF(AND(P33="完成",COUNT(G33:L33)=6,C33&lt;&gt;""),SUM(G33:L33),"")</x:f>
      </x:c>
      <x:c r="N33" s="9"/>
      <x:c r="O33" s="9"/>
      <x:c r="P33" s="6"/>
      <x:c r="Q33" s="6"/>
      <x:c r="R33" s="6"/>
      <x:c r="S33" s="6"/>
      <x:c r="T33" s="8"/>
      <x:c r="U33" s="8"/>
      <x:c r="V33" s="8"/>
      <x:c r="W33" s="8"/>
      <x:c r="X33" s="11" t="str">
        <x:f>IF(C33="","",IF(M33="",0,IF(COUNTIFS($B$2:B33,B33,$C$2:C33,C33,$M$2:M33,"&gt;=0")=1,1,0)))</x:f>
      </x:c>
      <x:c r="Y33" s="1"/>
    </x:row>
    <x:row r="34">
      <x:c r="A34" s="1" t="str">
        <x:v>L4-03</x:v>
      </x:c>
      <x:c r="B34" s="1" t="str">
        <x:v>L4</x:v>
      </x:c>
      <x:c r="C34" s="6"/>
      <x:c r="D34" s="6"/>
      <x:c r="E34" s="8"/>
      <x:c r="F34" s="6"/>
      <x:c r="G34" s="9"/>
      <x:c r="H34" s="9"/>
      <x:c r="I34" s="9"/>
      <x:c r="J34" s="9"/>
      <x:c r="K34" s="9"/>
      <x:c r="L34" s="9"/>
      <x:c r="M34" s="10" t="str">
        <x:f>IF(AND(P34="完成",COUNT(G34:L34)=6,C34&lt;&gt;""),SUM(G34:L34),"")</x:f>
      </x:c>
      <x:c r="N34" s="9"/>
      <x:c r="O34" s="9"/>
      <x:c r="P34" s="6"/>
      <x:c r="Q34" s="6"/>
      <x:c r="R34" s="6"/>
      <x:c r="S34" s="6"/>
      <x:c r="T34" s="8"/>
      <x:c r="U34" s="8"/>
      <x:c r="V34" s="8"/>
      <x:c r="W34" s="8"/>
      <x:c r="X34" s="11" t="str">
        <x:f>IF(C34="","",IF(M34="",0,IF(COUNTIFS($B$2:B34,B34,$C$2:C34,C34,$M$2:M34,"&gt;=0")=1,1,0)))</x:f>
      </x:c>
      <x:c r="Y34" s="1"/>
    </x:row>
    <x:row r="35">
      <x:c r="A35" s="1" t="str">
        <x:v>L4-04</x:v>
      </x:c>
      <x:c r="B35" s="1" t="str">
        <x:v>L4</x:v>
      </x:c>
      <x:c r="C35" s="6"/>
      <x:c r="D35" s="6"/>
      <x:c r="E35" s="8"/>
      <x:c r="F35" s="6"/>
      <x:c r="G35" s="9"/>
      <x:c r="H35" s="9"/>
      <x:c r="I35" s="9"/>
      <x:c r="J35" s="9"/>
      <x:c r="K35" s="9"/>
      <x:c r="L35" s="9"/>
      <x:c r="M35" s="10" t="str">
        <x:f>IF(AND(P35="完成",COUNT(G35:L35)=6,C35&lt;&gt;""),SUM(G35:L35),"")</x:f>
      </x:c>
      <x:c r="N35" s="9"/>
      <x:c r="O35" s="9"/>
      <x:c r="P35" s="6"/>
      <x:c r="Q35" s="6"/>
      <x:c r="R35" s="6"/>
      <x:c r="S35" s="6"/>
      <x:c r="T35" s="8"/>
      <x:c r="U35" s="8"/>
      <x:c r="V35" s="8"/>
      <x:c r="W35" s="8"/>
      <x:c r="X35" s="11" t="str">
        <x:f>IF(C35="","",IF(M35="",0,IF(COUNTIFS($B$2:B35,B35,$C$2:C35,C35,$M$2:M35,"&gt;=0")=1,1,0)))</x:f>
      </x:c>
      <x:c r="Y35" s="1"/>
    </x:row>
    <x:row r="36">
      <x:c r="A36" s="1" t="str">
        <x:v>L4-05</x:v>
      </x:c>
      <x:c r="B36" s="1" t="str">
        <x:v>L4</x:v>
      </x:c>
      <x:c r="C36" s="6"/>
      <x:c r="D36" s="6"/>
      <x:c r="E36" s="8"/>
      <x:c r="F36" s="6"/>
      <x:c r="G36" s="9"/>
      <x:c r="H36" s="9"/>
      <x:c r="I36" s="9"/>
      <x:c r="J36" s="9"/>
      <x:c r="K36" s="9"/>
      <x:c r="L36" s="9"/>
      <x:c r="M36" s="10" t="str">
        <x:f>IF(AND(P36="完成",COUNT(G36:L36)=6,C36&lt;&gt;""),SUM(G36:L36),"")</x:f>
      </x:c>
      <x:c r="N36" s="9"/>
      <x:c r="O36" s="9"/>
      <x:c r="P36" s="6"/>
      <x:c r="Q36" s="6"/>
      <x:c r="R36" s="6"/>
      <x:c r="S36" s="6"/>
      <x:c r="T36" s="8"/>
      <x:c r="U36" s="8"/>
      <x:c r="V36" s="8"/>
      <x:c r="W36" s="8"/>
      <x:c r="X36" s="11" t="str">
        <x:f>IF(C36="","",IF(M36="",0,IF(COUNTIFS($B$2:B36,B36,$C$2:C36,C36,$M$2:M36,"&gt;=0")=1,1,0)))</x:f>
      </x:c>
      <x:c r="Y36" s="1"/>
    </x:row>
    <x:row r="37">
      <x:c r="A37" s="1" t="str">
        <x:v>L4-06</x:v>
      </x:c>
      <x:c r="B37" s="1" t="str">
        <x:v>L4</x:v>
      </x:c>
      <x:c r="C37" s="6"/>
      <x:c r="D37" s="6"/>
      <x:c r="E37" s="8"/>
      <x:c r="F37" s="6"/>
      <x:c r="G37" s="9"/>
      <x:c r="H37" s="9"/>
      <x:c r="I37" s="9"/>
      <x:c r="J37" s="9"/>
      <x:c r="K37" s="9"/>
      <x:c r="L37" s="9"/>
      <x:c r="M37" s="10" t="str">
        <x:f>IF(AND(P37="完成",COUNT(G37:L37)=6,C37&lt;&gt;""),SUM(G37:L37),"")</x:f>
      </x:c>
      <x:c r="N37" s="9"/>
      <x:c r="O37" s="9"/>
      <x:c r="P37" s="6"/>
      <x:c r="Q37" s="6"/>
      <x:c r="R37" s="6"/>
      <x:c r="S37" s="6"/>
      <x:c r="T37" s="8"/>
      <x:c r="U37" s="8"/>
      <x:c r="V37" s="8"/>
      <x:c r="W37" s="8"/>
      <x:c r="X37" s="11" t="str">
        <x:f>IF(C37="","",IF(M37="",0,IF(COUNTIFS($B$2:B37,B37,$C$2:C37,C37,$M$2:M37,"&gt;=0")=1,1,0)))</x:f>
      </x:c>
      <x:c r="Y37" s="1"/>
    </x:row>
    <x:row r="38">
      <x:c r="A38" s="1" t="str">
        <x:v>L4-07</x:v>
      </x:c>
      <x:c r="B38" s="1" t="str">
        <x:v>L4</x:v>
      </x:c>
      <x:c r="C38" s="6"/>
      <x:c r="D38" s="6"/>
      <x:c r="E38" s="8"/>
      <x:c r="F38" s="6"/>
      <x:c r="G38" s="9"/>
      <x:c r="H38" s="9"/>
      <x:c r="I38" s="9"/>
      <x:c r="J38" s="9"/>
      <x:c r="K38" s="9"/>
      <x:c r="L38" s="9"/>
      <x:c r="M38" s="10" t="str">
        <x:f>IF(AND(P38="完成",COUNT(G38:L38)=6,C38&lt;&gt;""),SUM(G38:L38),"")</x:f>
      </x:c>
      <x:c r="N38" s="9"/>
      <x:c r="O38" s="9"/>
      <x:c r="P38" s="6"/>
      <x:c r="Q38" s="6"/>
      <x:c r="R38" s="6"/>
      <x:c r="S38" s="6"/>
      <x:c r="T38" s="8"/>
      <x:c r="U38" s="8"/>
      <x:c r="V38" s="8"/>
      <x:c r="W38" s="8"/>
      <x:c r="X38" s="11" t="str">
        <x:f>IF(C38="","",IF(M38="",0,IF(COUNTIFS($B$2:B38,B38,$C$2:C38,C38,$M$2:M38,"&gt;=0")=1,1,0)))</x:f>
      </x:c>
      <x:c r="Y38" s="1"/>
    </x:row>
    <x:row r="39">
      <x:c r="A39" s="1" t="str">
        <x:v>L4-08</x:v>
      </x:c>
      <x:c r="B39" s="1" t="str">
        <x:v>L4</x:v>
      </x:c>
      <x:c r="C39" s="6"/>
      <x:c r="D39" s="6"/>
      <x:c r="E39" s="8"/>
      <x:c r="F39" s="6"/>
      <x:c r="G39" s="9"/>
      <x:c r="H39" s="9"/>
      <x:c r="I39" s="9"/>
      <x:c r="J39" s="9"/>
      <x:c r="K39" s="9"/>
      <x:c r="L39" s="9"/>
      <x:c r="M39" s="10" t="str">
        <x:f>IF(AND(P39="完成",COUNT(G39:L39)=6,C39&lt;&gt;""),SUM(G39:L39),"")</x:f>
      </x:c>
      <x:c r="N39" s="9"/>
      <x:c r="O39" s="9"/>
      <x:c r="P39" s="6"/>
      <x:c r="Q39" s="6"/>
      <x:c r="R39" s="6"/>
      <x:c r="S39" s="6"/>
      <x:c r="T39" s="8"/>
      <x:c r="U39" s="8"/>
      <x:c r="V39" s="8"/>
      <x:c r="W39" s="8"/>
      <x:c r="X39" s="11" t="str">
        <x:f>IF(C39="","",IF(M39="",0,IF(COUNTIFS($B$2:B39,B39,$C$2:C39,C39,$M$2:M39,"&gt;=0")=1,1,0)))</x:f>
      </x:c>
      <x:c r="Y39" s="1"/>
    </x:row>
    <x:row r="40">
      <x:c r="A40" s="1" t="str">
        <x:v>L4-09</x:v>
      </x:c>
      <x:c r="B40" s="1" t="str">
        <x:v>L4</x:v>
      </x:c>
      <x:c r="C40" s="6"/>
      <x:c r="D40" s="6"/>
      <x:c r="E40" s="8"/>
      <x:c r="F40" s="6"/>
      <x:c r="G40" s="9"/>
      <x:c r="H40" s="9"/>
      <x:c r="I40" s="9"/>
      <x:c r="J40" s="9"/>
      <x:c r="K40" s="9"/>
      <x:c r="L40" s="9"/>
      <x:c r="M40" s="10" t="str">
        <x:f>IF(AND(P40="完成",COUNT(G40:L40)=6,C40&lt;&gt;""),SUM(G40:L40),"")</x:f>
      </x:c>
      <x:c r="N40" s="9"/>
      <x:c r="O40" s="9"/>
      <x:c r="P40" s="6"/>
      <x:c r="Q40" s="6"/>
      <x:c r="R40" s="6"/>
      <x:c r="S40" s="6"/>
      <x:c r="T40" s="8"/>
      <x:c r="U40" s="8"/>
      <x:c r="V40" s="8"/>
      <x:c r="W40" s="8"/>
      <x:c r="X40" s="11" t="str">
        <x:f>IF(C40="","",IF(M40="",0,IF(COUNTIFS($B$2:B40,B40,$C$2:C40,C40,$M$2:M40,"&gt;=0")=1,1,0)))</x:f>
      </x:c>
      <x:c r="Y40" s="1"/>
    </x:row>
    <x:row r="41">
      <x:c r="A41" s="1" t="str">
        <x:v>L4-10</x:v>
      </x:c>
      <x:c r="B41" s="1" t="str">
        <x:v>L4</x:v>
      </x:c>
      <x:c r="C41" s="6"/>
      <x:c r="D41" s="6"/>
      <x:c r="E41" s="8"/>
      <x:c r="F41" s="6"/>
      <x:c r="G41" s="9"/>
      <x:c r="H41" s="9"/>
      <x:c r="I41" s="9"/>
      <x:c r="J41" s="9"/>
      <x:c r="K41" s="9"/>
      <x:c r="L41" s="9"/>
      <x:c r="M41" s="10" t="str">
        <x:f>IF(AND(P41="完成",COUNT(G41:L41)=6,C41&lt;&gt;""),SUM(G41:L41),"")</x:f>
      </x:c>
      <x:c r="N41" s="9"/>
      <x:c r="O41" s="9"/>
      <x:c r="P41" s="6"/>
      <x:c r="Q41" s="6"/>
      <x:c r="R41" s="6"/>
      <x:c r="S41" s="6"/>
      <x:c r="T41" s="8"/>
      <x:c r="U41" s="8"/>
      <x:c r="V41" s="8"/>
      <x:c r="W41" s="8"/>
      <x:c r="X41" s="11" t="str">
        <x:f>IF(C41="","",IF(M41="",0,IF(COUNTIFS($B$2:B41,B41,$C$2:C41,C41,$M$2:M41,"&gt;=0")=1,1,0)))</x:f>
      </x:c>
      <x:c r="Y41" s="1"/>
    </x:row>
    <x:row r="42">
      <x:c r="A42" s="1" t="str">
        <x:v>L5-01</x:v>
      </x:c>
      <x:c r="B42" s="1" t="str">
        <x:v>L5</x:v>
      </x:c>
      <x:c r="C42" s="6"/>
      <x:c r="D42" s="6"/>
      <x:c r="E42" s="8"/>
      <x:c r="F42" s="6"/>
      <x:c r="G42" s="9"/>
      <x:c r="H42" s="9"/>
      <x:c r="I42" s="9"/>
      <x:c r="J42" s="9"/>
      <x:c r="K42" s="9"/>
      <x:c r="L42" s="9"/>
      <x:c r="M42" s="10" t="str">
        <x:f>IF(AND(P42="完成",COUNT(G42:L42)=6,C42&lt;&gt;""),SUM(G42:L42),"")</x:f>
      </x:c>
      <x:c r="N42" s="9"/>
      <x:c r="O42" s="9"/>
      <x:c r="P42" s="6"/>
      <x:c r="Q42" s="6"/>
      <x:c r="R42" s="6"/>
      <x:c r="S42" s="6"/>
      <x:c r="T42" s="8"/>
      <x:c r="U42" s="8"/>
      <x:c r="V42" s="8"/>
      <x:c r="W42" s="8"/>
      <x:c r="X42" s="11" t="str">
        <x:f>IF(C42="","",IF(M42="",0,IF(COUNTIFS($B$2:B42,B42,$C$2:C42,C42,$M$2:M42,"&gt;=0")=1,1,0)))</x:f>
      </x:c>
      <x:c r="Y42" s="1"/>
    </x:row>
    <x:row r="43">
      <x:c r="A43" s="1" t="str">
        <x:v>L5-02</x:v>
      </x:c>
      <x:c r="B43" s="1" t="str">
        <x:v>L5</x:v>
      </x:c>
      <x:c r="C43" s="6"/>
      <x:c r="D43" s="6"/>
      <x:c r="E43" s="8"/>
      <x:c r="F43" s="6"/>
      <x:c r="G43" s="9"/>
      <x:c r="H43" s="9"/>
      <x:c r="I43" s="9"/>
      <x:c r="J43" s="9"/>
      <x:c r="K43" s="9"/>
      <x:c r="L43" s="9"/>
      <x:c r="M43" s="10" t="str">
        <x:f>IF(AND(P43="完成",COUNT(G43:L43)=6,C43&lt;&gt;""),SUM(G43:L43),"")</x:f>
      </x:c>
      <x:c r="N43" s="9"/>
      <x:c r="O43" s="9"/>
      <x:c r="P43" s="6"/>
      <x:c r="Q43" s="6"/>
      <x:c r="R43" s="6"/>
      <x:c r="S43" s="6"/>
      <x:c r="T43" s="8"/>
      <x:c r="U43" s="8"/>
      <x:c r="V43" s="8"/>
      <x:c r="W43" s="8"/>
      <x:c r="X43" s="11" t="str">
        <x:f>IF(C43="","",IF(M43="",0,IF(COUNTIFS($B$2:B43,B43,$C$2:C43,C43,$M$2:M43,"&gt;=0")=1,1,0)))</x:f>
      </x:c>
      <x:c r="Y43" s="1"/>
    </x:row>
    <x:row r="44">
      <x:c r="A44" s="1" t="str">
        <x:v>L5-03</x:v>
      </x:c>
      <x:c r="B44" s="1" t="str">
        <x:v>L5</x:v>
      </x:c>
      <x:c r="C44" s="6"/>
      <x:c r="D44" s="6"/>
      <x:c r="E44" s="8"/>
      <x:c r="F44" s="6"/>
      <x:c r="G44" s="9"/>
      <x:c r="H44" s="9"/>
      <x:c r="I44" s="9"/>
      <x:c r="J44" s="9"/>
      <x:c r="K44" s="9"/>
      <x:c r="L44" s="9"/>
      <x:c r="M44" s="10" t="str">
        <x:f>IF(AND(P44="完成",COUNT(G44:L44)=6,C44&lt;&gt;""),SUM(G44:L44),"")</x:f>
      </x:c>
      <x:c r="N44" s="9"/>
      <x:c r="O44" s="9"/>
      <x:c r="P44" s="6"/>
      <x:c r="Q44" s="6"/>
      <x:c r="R44" s="6"/>
      <x:c r="S44" s="6"/>
      <x:c r="T44" s="8"/>
      <x:c r="U44" s="8"/>
      <x:c r="V44" s="8"/>
      <x:c r="W44" s="8"/>
      <x:c r="X44" s="11" t="str">
        <x:f>IF(C44="","",IF(M44="",0,IF(COUNTIFS($B$2:B44,B44,$C$2:C44,C44,$M$2:M44,"&gt;=0")=1,1,0)))</x:f>
      </x:c>
      <x:c r="Y44" s="1"/>
    </x:row>
    <x:row r="45">
      <x:c r="A45" s="1" t="str">
        <x:v>L5-04</x:v>
      </x:c>
      <x:c r="B45" s="1" t="str">
        <x:v>L5</x:v>
      </x:c>
      <x:c r="C45" s="6"/>
      <x:c r="D45" s="6"/>
      <x:c r="E45" s="8"/>
      <x:c r="F45" s="6"/>
      <x:c r="G45" s="9"/>
      <x:c r="H45" s="9"/>
      <x:c r="I45" s="9"/>
      <x:c r="J45" s="9"/>
      <x:c r="K45" s="9"/>
      <x:c r="L45" s="9"/>
      <x:c r="M45" s="10" t="str">
        <x:f>IF(AND(P45="完成",COUNT(G45:L45)=6,C45&lt;&gt;""),SUM(G45:L45),"")</x:f>
      </x:c>
      <x:c r="N45" s="9"/>
      <x:c r="O45" s="9"/>
      <x:c r="P45" s="6"/>
      <x:c r="Q45" s="6"/>
      <x:c r="R45" s="6"/>
      <x:c r="S45" s="6"/>
      <x:c r="T45" s="8"/>
      <x:c r="U45" s="8"/>
      <x:c r="V45" s="8"/>
      <x:c r="W45" s="8"/>
      <x:c r="X45" s="11" t="str">
        <x:f>IF(C45="","",IF(M45="",0,IF(COUNTIFS($B$2:B45,B45,$C$2:C45,C45,$M$2:M45,"&gt;=0")=1,1,0)))</x:f>
      </x:c>
      <x:c r="Y45" s="1"/>
    </x:row>
    <x:row r="46">
      <x:c r="A46" s="1" t="str">
        <x:v>L5-05</x:v>
      </x:c>
      <x:c r="B46" s="1" t="str">
        <x:v>L5</x:v>
      </x:c>
      <x:c r="C46" s="6"/>
      <x:c r="D46" s="6"/>
      <x:c r="E46" s="8"/>
      <x:c r="F46" s="6"/>
      <x:c r="G46" s="9"/>
      <x:c r="H46" s="9"/>
      <x:c r="I46" s="9"/>
      <x:c r="J46" s="9"/>
      <x:c r="K46" s="9"/>
      <x:c r="L46" s="9"/>
      <x:c r="M46" s="10" t="str">
        <x:f>IF(AND(P46="完成",COUNT(G46:L46)=6,C46&lt;&gt;""),SUM(G46:L46),"")</x:f>
      </x:c>
      <x:c r="N46" s="9"/>
      <x:c r="O46" s="9"/>
      <x:c r="P46" s="6"/>
      <x:c r="Q46" s="6"/>
      <x:c r="R46" s="6"/>
      <x:c r="S46" s="6"/>
      <x:c r="T46" s="8"/>
      <x:c r="U46" s="8"/>
      <x:c r="V46" s="8"/>
      <x:c r="W46" s="8"/>
      <x:c r="X46" s="11" t="str">
        <x:f>IF(C46="","",IF(M46="",0,IF(COUNTIFS($B$2:B46,B46,$C$2:C46,C46,$M$2:M46,"&gt;=0")=1,1,0)))</x:f>
      </x:c>
      <x:c r="Y46" s="1"/>
    </x:row>
    <x:row r="47">
      <x:c r="A47" s="1" t="str">
        <x:v>L5-06</x:v>
      </x:c>
      <x:c r="B47" s="1" t="str">
        <x:v>L5</x:v>
      </x:c>
      <x:c r="C47" s="6"/>
      <x:c r="D47" s="6"/>
      <x:c r="E47" s="8"/>
      <x:c r="F47" s="6"/>
      <x:c r="G47" s="9"/>
      <x:c r="H47" s="9"/>
      <x:c r="I47" s="9"/>
      <x:c r="J47" s="9"/>
      <x:c r="K47" s="9"/>
      <x:c r="L47" s="9"/>
      <x:c r="M47" s="10" t="str">
        <x:f>IF(AND(P47="完成",COUNT(G47:L47)=6,C47&lt;&gt;""),SUM(G47:L47),"")</x:f>
      </x:c>
      <x:c r="N47" s="9"/>
      <x:c r="O47" s="9"/>
      <x:c r="P47" s="6"/>
      <x:c r="Q47" s="6"/>
      <x:c r="R47" s="6"/>
      <x:c r="S47" s="6"/>
      <x:c r="T47" s="8"/>
      <x:c r="U47" s="8"/>
      <x:c r="V47" s="8"/>
      <x:c r="W47" s="8"/>
      <x:c r="X47" s="11" t="str">
        <x:f>IF(C47="","",IF(M47="",0,IF(COUNTIFS($B$2:B47,B47,$C$2:C47,C47,$M$2:M47,"&gt;=0")=1,1,0)))</x:f>
      </x:c>
      <x:c r="Y47" s="1"/>
    </x:row>
    <x:row r="48">
      <x:c r="A48" s="1" t="str">
        <x:v>L5-07</x:v>
      </x:c>
      <x:c r="B48" s="1" t="str">
        <x:v>L5</x:v>
      </x:c>
      <x:c r="C48" s="6"/>
      <x:c r="D48" s="6"/>
      <x:c r="E48" s="8"/>
      <x:c r="F48" s="6"/>
      <x:c r="G48" s="9"/>
      <x:c r="H48" s="9"/>
      <x:c r="I48" s="9"/>
      <x:c r="J48" s="9"/>
      <x:c r="K48" s="9"/>
      <x:c r="L48" s="9"/>
      <x:c r="M48" s="10" t="str">
        <x:f>IF(AND(P48="完成",COUNT(G48:L48)=6,C48&lt;&gt;""),SUM(G48:L48),"")</x:f>
      </x:c>
      <x:c r="N48" s="9"/>
      <x:c r="O48" s="9"/>
      <x:c r="P48" s="6"/>
      <x:c r="Q48" s="6"/>
      <x:c r="R48" s="6"/>
      <x:c r="S48" s="6"/>
      <x:c r="T48" s="8"/>
      <x:c r="U48" s="8"/>
      <x:c r="V48" s="8"/>
      <x:c r="W48" s="8"/>
      <x:c r="X48" s="11" t="str">
        <x:f>IF(C48="","",IF(M48="",0,IF(COUNTIFS($B$2:B48,B48,$C$2:C48,C48,$M$2:M48,"&gt;=0")=1,1,0)))</x:f>
      </x:c>
      <x:c r="Y48" s="1"/>
    </x:row>
    <x:row r="49">
      <x:c r="A49" s="1" t="str">
        <x:v>L5-08</x:v>
      </x:c>
      <x:c r="B49" s="1" t="str">
        <x:v>L5</x:v>
      </x:c>
      <x:c r="C49" s="6"/>
      <x:c r="D49" s="6"/>
      <x:c r="E49" s="8"/>
      <x:c r="F49" s="6"/>
      <x:c r="G49" s="9"/>
      <x:c r="H49" s="9"/>
      <x:c r="I49" s="9"/>
      <x:c r="J49" s="9"/>
      <x:c r="K49" s="9"/>
      <x:c r="L49" s="9"/>
      <x:c r="M49" s="10" t="str">
        <x:f>IF(AND(P49="完成",COUNT(G49:L49)=6,C49&lt;&gt;""),SUM(G49:L49),"")</x:f>
      </x:c>
      <x:c r="N49" s="9"/>
      <x:c r="O49" s="9"/>
      <x:c r="P49" s="6"/>
      <x:c r="Q49" s="6"/>
      <x:c r="R49" s="6"/>
      <x:c r="S49" s="6"/>
      <x:c r="T49" s="8"/>
      <x:c r="U49" s="8"/>
      <x:c r="V49" s="8"/>
      <x:c r="W49" s="8"/>
      <x:c r="X49" s="11" t="str">
        <x:f>IF(C49="","",IF(M49="",0,IF(COUNTIFS($B$2:B49,B49,$C$2:C49,C49,$M$2:M49,"&gt;=0")=1,1,0)))</x:f>
      </x:c>
      <x:c r="Y49" s="1"/>
    </x:row>
    <x:row r="50">
      <x:c r="A50" s="1" t="str">
        <x:v>L5-09</x:v>
      </x:c>
      <x:c r="B50" s="1" t="str">
        <x:v>L5</x:v>
      </x:c>
      <x:c r="C50" s="6"/>
      <x:c r="D50" s="6"/>
      <x:c r="E50" s="8"/>
      <x:c r="F50" s="6"/>
      <x:c r="G50" s="9"/>
      <x:c r="H50" s="9"/>
      <x:c r="I50" s="9"/>
      <x:c r="J50" s="9"/>
      <x:c r="K50" s="9"/>
      <x:c r="L50" s="9"/>
      <x:c r="M50" s="10" t="str">
        <x:f>IF(AND(P50="完成",COUNT(G50:L50)=6,C50&lt;&gt;""),SUM(G50:L50),"")</x:f>
      </x:c>
      <x:c r="N50" s="9"/>
      <x:c r="O50" s="9"/>
      <x:c r="P50" s="6"/>
      <x:c r="Q50" s="6"/>
      <x:c r="R50" s="6"/>
      <x:c r="S50" s="6"/>
      <x:c r="T50" s="8"/>
      <x:c r="U50" s="8"/>
      <x:c r="V50" s="8"/>
      <x:c r="W50" s="8"/>
      <x:c r="X50" s="11" t="str">
        <x:f>IF(C50="","",IF(M50="",0,IF(COUNTIFS($B$2:B50,B50,$C$2:C50,C50,$M$2:M50,"&gt;=0")=1,1,0)))</x:f>
      </x:c>
      <x:c r="Y50" s="1"/>
    </x:row>
    <x:row r="51">
      <x:c r="A51" s="1" t="str">
        <x:v>L5-10</x:v>
      </x:c>
      <x:c r="B51" s="1" t="str">
        <x:v>L5</x:v>
      </x:c>
      <x:c r="C51" s="6"/>
      <x:c r="D51" s="6"/>
      <x:c r="E51" s="8"/>
      <x:c r="F51" s="6"/>
      <x:c r="G51" s="9"/>
      <x:c r="H51" s="9"/>
      <x:c r="I51" s="9"/>
      <x:c r="J51" s="9"/>
      <x:c r="K51" s="9"/>
      <x:c r="L51" s="9"/>
      <x:c r="M51" s="10" t="str">
        <x:f>IF(AND(P51="完成",COUNT(G51:L51)=6,C51&lt;&gt;""),SUM(G51:L51),"")</x:f>
      </x:c>
      <x:c r="N51" s="9"/>
      <x:c r="O51" s="9"/>
      <x:c r="P51" s="6"/>
      <x:c r="Q51" s="6"/>
      <x:c r="R51" s="6"/>
      <x:c r="S51" s="6"/>
      <x:c r="T51" s="8"/>
      <x:c r="U51" s="8"/>
      <x:c r="V51" s="8"/>
      <x:c r="W51" s="8"/>
      <x:c r="X51" s="11" t="str">
        <x:f>IF(C51="","",IF(M51="",0,IF(COUNTIFS($B$2:B51,B51,$C$2:C51,C51,$M$2:M51,"&gt;=0")=1,1,0)))</x:f>
      </x:c>
      <x:c r="Y51" s="1"/>
    </x:row>
  </x:sheetData>
  <x:dataValidations count="3">
    <x:dataValidation type="list" sqref="P2:P51">
      <x:formula1>"完成,部分,中止"</x:formula1>
    </x:dataValidation>
    <x:dataValidation type="list" sqref="Q2:Q51">
      <x:formula1>"否,是"</x:formula1>
    </x:dataValidation>
    <x:dataValidation type="list" sqref="S2:S51">
      <x:formula1>"無,詞語,句架,示範"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7b188c3580465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sheetData>
    <x:row r="1" ht="42" customHeight="1">
      <x:c r="A1" s="5" t="str">
        <x:v>試次代碼</x:v>
      </x:c>
      <x:c r="B1" s="5" t="str">
        <x:v>程度</x:v>
      </x:c>
      <x:c r="C1" s="5" t="str">
        <x:v>匿名學習者代碼</x:v>
      </x:c>
      <x:c r="D1" s="5" t="str">
        <x:v>字詞暖身（分鐘）</x:v>
      </x:c>
      <x:c r="E1" s="5" t="str">
        <x:v>首次完整聽讀（分鐘）</x:v>
      </x:c>
      <x:c r="F1" s="5" t="str">
        <x:v>核心句精聽（分鐘）</x:v>
      </x:c>
      <x:c r="G1" s="5" t="str">
        <x:v>理解檢核（分鐘）</x:v>
      </x:c>
      <x:c r="H1" s="5" t="str">
        <x:v>開口輸出（分鐘）</x:v>
      </x:c>
      <x:c r="I1" s="5" t="str">
        <x:v>回顧收尾（分鐘）</x:v>
      </x:c>
      <x:c r="J1" s="5" t="str">
        <x:v>有效總分鐘</x:v>
      </x:c>
      <x:c r="K1" s="5" t="str">
        <x:v>是否跳過階段（1／0）</x:v>
      </x:c>
      <x:c r="L1" s="5" t="str">
        <x:v>重聽次數</x:v>
      </x:c>
      <x:c r="M1" s="5" t="str">
        <x:v>查詞次數</x:v>
      </x:c>
      <x:c r="N1" s="5" t="str">
        <x:v>理解題答對數</x:v>
      </x:c>
      <x:c r="O1" s="5" t="str">
        <x:v>理解題總題數</x:v>
      </x:c>
    </x:row>
    <x:row r="2">
      <x:c r="A2" s="1" t="str">
        <x:v>L1-01</x:v>
      </x:c>
      <x:c r="B2" s="1" t="str">
        <x:v>L1</x:v>
      </x:c>
      <x:c r="C2" s="1"/>
      <x:c r="D2" s="10" t="str">
        <x:f>IF('試用紀錄'!$X2=1,'試用紀錄'!G2,"")</x:f>
      </x:c>
      <x:c r="E2" s="10" t="str">
        <x:f>IF('試用紀錄'!$X2=1,'試用紀錄'!H2,"")</x:f>
      </x:c>
      <x:c r="F2" s="10" t="str">
        <x:f>IF('試用紀錄'!$X2=1,'試用紀錄'!I2,"")</x:f>
      </x:c>
      <x:c r="G2" s="10" t="str">
        <x:f>IF('試用紀錄'!$X2=1,'試用紀錄'!J2,"")</x:f>
      </x:c>
      <x:c r="H2" s="10" t="str">
        <x:f>IF('試用紀錄'!$X2=1,'試用紀錄'!K2,"")</x:f>
      </x:c>
      <x:c r="I2" s="10" t="str">
        <x:f>IF('試用紀錄'!$X2=1,'試用紀錄'!L2,"")</x:f>
      </x:c>
      <x:c r="J2" s="10" t="str">
        <x:f>IF('試用紀錄'!$X2=1,'試用紀錄'!$M2,"")</x:f>
      </x:c>
      <x:c r="K2" s="10" t="str">
        <x:f>IF('試用紀錄'!$X2=1,IF('試用紀錄'!$Q2="是",1,IF('試用紀錄'!$Q2="否",0,"")),"")</x:f>
      </x:c>
      <x:c r="L2" s="10" t="str">
        <x:f>IF(AND('試用紀錄'!$X2=1,COUNT('試用紀錄'!$T2)=1),'試用紀錄'!$T2,"")</x:f>
      </x:c>
      <x:c r="M2" s="10" t="str">
        <x:f>IF(AND('試用紀錄'!$X2=1,COUNT('試用紀錄'!$U2)=1),'試用紀錄'!$U2,"")</x:f>
      </x:c>
      <x:c r="N2" s="10" t="str">
        <x:f>IF(AND('試用紀錄'!$X2=1,COUNT('試用紀錄'!$V2)=1),'試用紀錄'!$V2,"")</x:f>
      </x:c>
      <x:c r="O2" s="10" t="str">
        <x:f>IF(AND('試用紀錄'!$X2=1,COUNT('試用紀錄'!$W2)=1),'試用紀錄'!$W2,"")</x:f>
      </x:c>
    </x:row>
    <x:row r="3">
      <x:c r="A3" s="1" t="str">
        <x:v>L1-02</x:v>
      </x:c>
      <x:c r="B3" s="1" t="str">
        <x:v>L1</x:v>
      </x:c>
      <x:c r="C3" s="1"/>
      <x:c r="D3" s="10" t="str">
        <x:f>IF('試用紀錄'!$X3=1,'試用紀錄'!G3,"")</x:f>
      </x:c>
      <x:c r="E3" s="10" t="str">
        <x:f>IF('試用紀錄'!$X3=1,'試用紀錄'!H3,"")</x:f>
      </x:c>
      <x:c r="F3" s="10" t="str">
        <x:f>IF('試用紀錄'!$X3=1,'試用紀錄'!I3,"")</x:f>
      </x:c>
      <x:c r="G3" s="10" t="str">
        <x:f>IF('試用紀錄'!$X3=1,'試用紀錄'!J3,"")</x:f>
      </x:c>
      <x:c r="H3" s="10" t="str">
        <x:f>IF('試用紀錄'!$X3=1,'試用紀錄'!K3,"")</x:f>
      </x:c>
      <x:c r="I3" s="10" t="str">
        <x:f>IF('試用紀錄'!$X3=1,'試用紀錄'!L3,"")</x:f>
      </x:c>
      <x:c r="J3" s="10" t="str">
        <x:f>IF('試用紀錄'!$X3=1,'試用紀錄'!$M3,"")</x:f>
      </x:c>
      <x:c r="K3" s="10" t="str">
        <x:f>IF('試用紀錄'!$X3=1,IF('試用紀錄'!$Q3="是",1,IF('試用紀錄'!$Q3="否",0,"")),"")</x:f>
      </x:c>
      <x:c r="L3" s="10" t="str">
        <x:f>IF(AND('試用紀錄'!$X3=1,COUNT('試用紀錄'!$T3)=1),'試用紀錄'!$T3,"")</x:f>
      </x:c>
      <x:c r="M3" s="10" t="str">
        <x:f>IF(AND('試用紀錄'!$X3=1,COUNT('試用紀錄'!$U3)=1),'試用紀錄'!$U3,"")</x:f>
      </x:c>
      <x:c r="N3" s="10" t="str">
        <x:f>IF(AND('試用紀錄'!$X3=1,COUNT('試用紀錄'!$V3)=1),'試用紀錄'!$V3,"")</x:f>
      </x:c>
      <x:c r="O3" s="10" t="str">
        <x:f>IF(AND('試用紀錄'!$X3=1,COUNT('試用紀錄'!$W3)=1),'試用紀錄'!$W3,"")</x:f>
      </x:c>
    </x:row>
    <x:row r="4">
      <x:c r="A4" s="1" t="str">
        <x:v>L1-03</x:v>
      </x:c>
      <x:c r="B4" s="1" t="str">
        <x:v>L1</x:v>
      </x:c>
      <x:c r="C4" s="1"/>
      <x:c r="D4" s="10" t="str">
        <x:f>IF('試用紀錄'!$X4=1,'試用紀錄'!G4,"")</x:f>
      </x:c>
      <x:c r="E4" s="10" t="str">
        <x:f>IF('試用紀錄'!$X4=1,'試用紀錄'!H4,"")</x:f>
      </x:c>
      <x:c r="F4" s="10" t="str">
        <x:f>IF('試用紀錄'!$X4=1,'試用紀錄'!I4,"")</x:f>
      </x:c>
      <x:c r="G4" s="10" t="str">
        <x:f>IF('試用紀錄'!$X4=1,'試用紀錄'!J4,"")</x:f>
      </x:c>
      <x:c r="H4" s="10" t="str">
        <x:f>IF('試用紀錄'!$X4=1,'試用紀錄'!K4,"")</x:f>
      </x:c>
      <x:c r="I4" s="10" t="str">
        <x:f>IF('試用紀錄'!$X4=1,'試用紀錄'!L4,"")</x:f>
      </x:c>
      <x:c r="J4" s="10" t="str">
        <x:f>IF('試用紀錄'!$X4=1,'試用紀錄'!$M4,"")</x:f>
      </x:c>
      <x:c r="K4" s="10" t="str">
        <x:f>IF('試用紀錄'!$X4=1,IF('試用紀錄'!$Q4="是",1,IF('試用紀錄'!$Q4="否",0,"")),"")</x:f>
      </x:c>
      <x:c r="L4" s="10" t="str">
        <x:f>IF(AND('試用紀錄'!$X4=1,COUNT('試用紀錄'!$T4)=1),'試用紀錄'!$T4,"")</x:f>
      </x:c>
      <x:c r="M4" s="10" t="str">
        <x:f>IF(AND('試用紀錄'!$X4=1,COUNT('試用紀錄'!$U4)=1),'試用紀錄'!$U4,"")</x:f>
      </x:c>
      <x:c r="N4" s="10" t="str">
        <x:f>IF(AND('試用紀錄'!$X4=1,COUNT('試用紀錄'!$V4)=1),'試用紀錄'!$V4,"")</x:f>
      </x:c>
      <x:c r="O4" s="10" t="str">
        <x:f>IF(AND('試用紀錄'!$X4=1,COUNT('試用紀錄'!$W4)=1),'試用紀錄'!$W4,"")</x:f>
      </x:c>
    </x:row>
    <x:row r="5">
      <x:c r="A5" s="1" t="str">
        <x:v>L1-04</x:v>
      </x:c>
      <x:c r="B5" s="1" t="str">
        <x:v>L1</x:v>
      </x:c>
      <x:c r="C5" s="1"/>
      <x:c r="D5" s="10" t="str">
        <x:f>IF('試用紀錄'!$X5=1,'試用紀錄'!G5,"")</x:f>
      </x:c>
      <x:c r="E5" s="10" t="str">
        <x:f>IF('試用紀錄'!$X5=1,'試用紀錄'!H5,"")</x:f>
      </x:c>
      <x:c r="F5" s="10" t="str">
        <x:f>IF('試用紀錄'!$X5=1,'試用紀錄'!I5,"")</x:f>
      </x:c>
      <x:c r="G5" s="10" t="str">
        <x:f>IF('試用紀錄'!$X5=1,'試用紀錄'!J5,"")</x:f>
      </x:c>
      <x:c r="H5" s="10" t="str">
        <x:f>IF('試用紀錄'!$X5=1,'試用紀錄'!K5,"")</x:f>
      </x:c>
      <x:c r="I5" s="10" t="str">
        <x:f>IF('試用紀錄'!$X5=1,'試用紀錄'!L5,"")</x:f>
      </x:c>
      <x:c r="J5" s="10" t="str">
        <x:f>IF('試用紀錄'!$X5=1,'試用紀錄'!$M5,"")</x:f>
      </x:c>
      <x:c r="K5" s="10" t="str">
        <x:f>IF('試用紀錄'!$X5=1,IF('試用紀錄'!$Q5="是",1,IF('試用紀錄'!$Q5="否",0,"")),"")</x:f>
      </x:c>
      <x:c r="L5" s="10" t="str">
        <x:f>IF(AND('試用紀錄'!$X5=1,COUNT('試用紀錄'!$T5)=1),'試用紀錄'!$T5,"")</x:f>
      </x:c>
      <x:c r="M5" s="10" t="str">
        <x:f>IF(AND('試用紀錄'!$X5=1,COUNT('試用紀錄'!$U5)=1),'試用紀錄'!$U5,"")</x:f>
      </x:c>
      <x:c r="N5" s="10" t="str">
        <x:f>IF(AND('試用紀錄'!$X5=1,COUNT('試用紀錄'!$V5)=1),'試用紀錄'!$V5,"")</x:f>
      </x:c>
      <x:c r="O5" s="10" t="str">
        <x:f>IF(AND('試用紀錄'!$X5=1,COUNT('試用紀錄'!$W5)=1),'試用紀錄'!$W5,"")</x:f>
      </x:c>
    </x:row>
    <x:row r="6">
      <x:c r="A6" s="1" t="str">
        <x:v>L1-05</x:v>
      </x:c>
      <x:c r="B6" s="1" t="str">
        <x:v>L1</x:v>
      </x:c>
      <x:c r="C6" s="1"/>
      <x:c r="D6" s="10" t="str">
        <x:f>IF('試用紀錄'!$X6=1,'試用紀錄'!G6,"")</x:f>
      </x:c>
      <x:c r="E6" s="10" t="str">
        <x:f>IF('試用紀錄'!$X6=1,'試用紀錄'!H6,"")</x:f>
      </x:c>
      <x:c r="F6" s="10" t="str">
        <x:f>IF('試用紀錄'!$X6=1,'試用紀錄'!I6,"")</x:f>
      </x:c>
      <x:c r="G6" s="10" t="str">
        <x:f>IF('試用紀錄'!$X6=1,'試用紀錄'!J6,"")</x:f>
      </x:c>
      <x:c r="H6" s="10" t="str">
        <x:f>IF('試用紀錄'!$X6=1,'試用紀錄'!K6,"")</x:f>
      </x:c>
      <x:c r="I6" s="10" t="str">
        <x:f>IF('試用紀錄'!$X6=1,'試用紀錄'!L6,"")</x:f>
      </x:c>
      <x:c r="J6" s="10" t="str">
        <x:f>IF('試用紀錄'!$X6=1,'試用紀錄'!$M6,"")</x:f>
      </x:c>
      <x:c r="K6" s="10" t="str">
        <x:f>IF('試用紀錄'!$X6=1,IF('試用紀錄'!$Q6="是",1,IF('試用紀錄'!$Q6="否",0,"")),"")</x:f>
      </x:c>
      <x:c r="L6" s="10" t="str">
        <x:f>IF(AND('試用紀錄'!$X6=1,COUNT('試用紀錄'!$T6)=1),'試用紀錄'!$T6,"")</x:f>
      </x:c>
      <x:c r="M6" s="10" t="str">
        <x:f>IF(AND('試用紀錄'!$X6=1,COUNT('試用紀錄'!$U6)=1),'試用紀錄'!$U6,"")</x:f>
      </x:c>
      <x:c r="N6" s="10" t="str">
        <x:f>IF(AND('試用紀錄'!$X6=1,COUNT('試用紀錄'!$V6)=1),'試用紀錄'!$V6,"")</x:f>
      </x:c>
      <x:c r="O6" s="10" t="str">
        <x:f>IF(AND('試用紀錄'!$X6=1,COUNT('試用紀錄'!$W6)=1),'試用紀錄'!$W6,"")</x:f>
      </x:c>
    </x:row>
    <x:row r="7">
      <x:c r="A7" s="1" t="str">
        <x:v>L1-06</x:v>
      </x:c>
      <x:c r="B7" s="1" t="str">
        <x:v>L1</x:v>
      </x:c>
      <x:c r="C7" s="1"/>
      <x:c r="D7" s="10" t="str">
        <x:f>IF('試用紀錄'!$X7=1,'試用紀錄'!G7,"")</x:f>
      </x:c>
      <x:c r="E7" s="10" t="str">
        <x:f>IF('試用紀錄'!$X7=1,'試用紀錄'!H7,"")</x:f>
      </x:c>
      <x:c r="F7" s="10" t="str">
        <x:f>IF('試用紀錄'!$X7=1,'試用紀錄'!I7,"")</x:f>
      </x:c>
      <x:c r="G7" s="10" t="str">
        <x:f>IF('試用紀錄'!$X7=1,'試用紀錄'!J7,"")</x:f>
      </x:c>
      <x:c r="H7" s="10" t="str">
        <x:f>IF('試用紀錄'!$X7=1,'試用紀錄'!K7,"")</x:f>
      </x:c>
      <x:c r="I7" s="10" t="str">
        <x:f>IF('試用紀錄'!$X7=1,'試用紀錄'!L7,"")</x:f>
      </x:c>
      <x:c r="J7" s="10" t="str">
        <x:f>IF('試用紀錄'!$X7=1,'試用紀錄'!$M7,"")</x:f>
      </x:c>
      <x:c r="K7" s="10" t="str">
        <x:f>IF('試用紀錄'!$X7=1,IF('試用紀錄'!$Q7="是",1,IF('試用紀錄'!$Q7="否",0,"")),"")</x:f>
      </x:c>
      <x:c r="L7" s="10" t="str">
        <x:f>IF(AND('試用紀錄'!$X7=1,COUNT('試用紀錄'!$T7)=1),'試用紀錄'!$T7,"")</x:f>
      </x:c>
      <x:c r="M7" s="10" t="str">
        <x:f>IF(AND('試用紀錄'!$X7=1,COUNT('試用紀錄'!$U7)=1),'試用紀錄'!$U7,"")</x:f>
      </x:c>
      <x:c r="N7" s="10" t="str">
        <x:f>IF(AND('試用紀錄'!$X7=1,COUNT('試用紀錄'!$V7)=1),'試用紀錄'!$V7,"")</x:f>
      </x:c>
      <x:c r="O7" s="10" t="str">
        <x:f>IF(AND('試用紀錄'!$X7=1,COUNT('試用紀錄'!$W7)=1),'試用紀錄'!$W7,"")</x:f>
      </x:c>
    </x:row>
    <x:row r="8">
      <x:c r="A8" s="1" t="str">
        <x:v>L1-07</x:v>
      </x:c>
      <x:c r="B8" s="1" t="str">
        <x:v>L1</x:v>
      </x:c>
      <x:c r="C8" s="1"/>
      <x:c r="D8" s="10" t="str">
        <x:f>IF('試用紀錄'!$X8=1,'試用紀錄'!G8,"")</x:f>
      </x:c>
      <x:c r="E8" s="10" t="str">
        <x:f>IF('試用紀錄'!$X8=1,'試用紀錄'!H8,"")</x:f>
      </x:c>
      <x:c r="F8" s="10" t="str">
        <x:f>IF('試用紀錄'!$X8=1,'試用紀錄'!I8,"")</x:f>
      </x:c>
      <x:c r="G8" s="10" t="str">
        <x:f>IF('試用紀錄'!$X8=1,'試用紀錄'!J8,"")</x:f>
      </x:c>
      <x:c r="H8" s="10" t="str">
        <x:f>IF('試用紀錄'!$X8=1,'試用紀錄'!K8,"")</x:f>
      </x:c>
      <x:c r="I8" s="10" t="str">
        <x:f>IF('試用紀錄'!$X8=1,'試用紀錄'!L8,"")</x:f>
      </x:c>
      <x:c r="J8" s="10" t="str">
        <x:f>IF('試用紀錄'!$X8=1,'試用紀錄'!$M8,"")</x:f>
      </x:c>
      <x:c r="K8" s="10" t="str">
        <x:f>IF('試用紀錄'!$X8=1,IF('試用紀錄'!$Q8="是",1,IF('試用紀錄'!$Q8="否",0,"")),"")</x:f>
      </x:c>
      <x:c r="L8" s="10" t="str">
        <x:f>IF(AND('試用紀錄'!$X8=1,COUNT('試用紀錄'!$T8)=1),'試用紀錄'!$T8,"")</x:f>
      </x:c>
      <x:c r="M8" s="10" t="str">
        <x:f>IF(AND('試用紀錄'!$X8=1,COUNT('試用紀錄'!$U8)=1),'試用紀錄'!$U8,"")</x:f>
      </x:c>
      <x:c r="N8" s="10" t="str">
        <x:f>IF(AND('試用紀錄'!$X8=1,COUNT('試用紀錄'!$V8)=1),'試用紀錄'!$V8,"")</x:f>
      </x:c>
      <x:c r="O8" s="10" t="str">
        <x:f>IF(AND('試用紀錄'!$X8=1,COUNT('試用紀錄'!$W8)=1),'試用紀錄'!$W8,"")</x:f>
      </x:c>
    </x:row>
    <x:row r="9">
      <x:c r="A9" s="1" t="str">
        <x:v>L1-08</x:v>
      </x:c>
      <x:c r="B9" s="1" t="str">
        <x:v>L1</x:v>
      </x:c>
      <x:c r="C9" s="1"/>
      <x:c r="D9" s="10" t="str">
        <x:f>IF('試用紀錄'!$X9=1,'試用紀錄'!G9,"")</x:f>
      </x:c>
      <x:c r="E9" s="10" t="str">
        <x:f>IF('試用紀錄'!$X9=1,'試用紀錄'!H9,"")</x:f>
      </x:c>
      <x:c r="F9" s="10" t="str">
        <x:f>IF('試用紀錄'!$X9=1,'試用紀錄'!I9,"")</x:f>
      </x:c>
      <x:c r="G9" s="10" t="str">
        <x:f>IF('試用紀錄'!$X9=1,'試用紀錄'!J9,"")</x:f>
      </x:c>
      <x:c r="H9" s="10" t="str">
        <x:f>IF('試用紀錄'!$X9=1,'試用紀錄'!K9,"")</x:f>
      </x:c>
      <x:c r="I9" s="10" t="str">
        <x:f>IF('試用紀錄'!$X9=1,'試用紀錄'!L9,"")</x:f>
      </x:c>
      <x:c r="J9" s="10" t="str">
        <x:f>IF('試用紀錄'!$X9=1,'試用紀錄'!$M9,"")</x:f>
      </x:c>
      <x:c r="K9" s="10" t="str">
        <x:f>IF('試用紀錄'!$X9=1,IF('試用紀錄'!$Q9="是",1,IF('試用紀錄'!$Q9="否",0,"")),"")</x:f>
      </x:c>
      <x:c r="L9" s="10" t="str">
        <x:f>IF(AND('試用紀錄'!$X9=1,COUNT('試用紀錄'!$T9)=1),'試用紀錄'!$T9,"")</x:f>
      </x:c>
      <x:c r="M9" s="10" t="str">
        <x:f>IF(AND('試用紀錄'!$X9=1,COUNT('試用紀錄'!$U9)=1),'試用紀錄'!$U9,"")</x:f>
      </x:c>
      <x:c r="N9" s="10" t="str">
        <x:f>IF(AND('試用紀錄'!$X9=1,COUNT('試用紀錄'!$V9)=1),'試用紀錄'!$V9,"")</x:f>
      </x:c>
      <x:c r="O9" s="10" t="str">
        <x:f>IF(AND('試用紀錄'!$X9=1,COUNT('試用紀錄'!$W9)=1),'試用紀錄'!$W9,"")</x:f>
      </x:c>
    </x:row>
    <x:row r="10">
      <x:c r="A10" s="1" t="str">
        <x:v>L1-09</x:v>
      </x:c>
      <x:c r="B10" s="1" t="str">
        <x:v>L1</x:v>
      </x:c>
      <x:c r="C10" s="1"/>
      <x:c r="D10" s="10" t="str">
        <x:f>IF('試用紀錄'!$X10=1,'試用紀錄'!G10,"")</x:f>
      </x:c>
      <x:c r="E10" s="10" t="str">
        <x:f>IF('試用紀錄'!$X10=1,'試用紀錄'!H10,"")</x:f>
      </x:c>
      <x:c r="F10" s="10" t="str">
        <x:f>IF('試用紀錄'!$X10=1,'試用紀錄'!I10,"")</x:f>
      </x:c>
      <x:c r="G10" s="10" t="str">
        <x:f>IF('試用紀錄'!$X10=1,'試用紀錄'!J10,"")</x:f>
      </x:c>
      <x:c r="H10" s="10" t="str">
        <x:f>IF('試用紀錄'!$X10=1,'試用紀錄'!K10,"")</x:f>
      </x:c>
      <x:c r="I10" s="10" t="str">
        <x:f>IF('試用紀錄'!$X10=1,'試用紀錄'!L10,"")</x:f>
      </x:c>
      <x:c r="J10" s="10" t="str">
        <x:f>IF('試用紀錄'!$X10=1,'試用紀錄'!$M10,"")</x:f>
      </x:c>
      <x:c r="K10" s="10" t="str">
        <x:f>IF('試用紀錄'!$X10=1,IF('試用紀錄'!$Q10="是",1,IF('試用紀錄'!$Q10="否",0,"")),"")</x:f>
      </x:c>
      <x:c r="L10" s="10" t="str">
        <x:f>IF(AND('試用紀錄'!$X10=1,COUNT('試用紀錄'!$T10)=1),'試用紀錄'!$T10,"")</x:f>
      </x:c>
      <x:c r="M10" s="10" t="str">
        <x:f>IF(AND('試用紀錄'!$X10=1,COUNT('試用紀錄'!$U10)=1),'試用紀錄'!$U10,"")</x:f>
      </x:c>
      <x:c r="N10" s="10" t="str">
        <x:f>IF(AND('試用紀錄'!$X10=1,COUNT('試用紀錄'!$V10)=1),'試用紀錄'!$V10,"")</x:f>
      </x:c>
      <x:c r="O10" s="10" t="str">
        <x:f>IF(AND('試用紀錄'!$X10=1,COUNT('試用紀錄'!$W10)=1),'試用紀錄'!$W10,"")</x:f>
      </x:c>
    </x:row>
    <x:row r="11">
      <x:c r="A11" s="1" t="str">
        <x:v>L1-10</x:v>
      </x:c>
      <x:c r="B11" s="1" t="str">
        <x:v>L1</x:v>
      </x:c>
      <x:c r="C11" s="1"/>
      <x:c r="D11" s="10" t="str">
        <x:f>IF('試用紀錄'!$X11=1,'試用紀錄'!G11,"")</x:f>
      </x:c>
      <x:c r="E11" s="10" t="str">
        <x:f>IF('試用紀錄'!$X11=1,'試用紀錄'!H11,"")</x:f>
      </x:c>
      <x:c r="F11" s="10" t="str">
        <x:f>IF('試用紀錄'!$X11=1,'試用紀錄'!I11,"")</x:f>
      </x:c>
      <x:c r="G11" s="10" t="str">
        <x:f>IF('試用紀錄'!$X11=1,'試用紀錄'!J11,"")</x:f>
      </x:c>
      <x:c r="H11" s="10" t="str">
        <x:f>IF('試用紀錄'!$X11=1,'試用紀錄'!K11,"")</x:f>
      </x:c>
      <x:c r="I11" s="10" t="str">
        <x:f>IF('試用紀錄'!$X11=1,'試用紀錄'!L11,"")</x:f>
      </x:c>
      <x:c r="J11" s="10" t="str">
        <x:f>IF('試用紀錄'!$X11=1,'試用紀錄'!$M11,"")</x:f>
      </x:c>
      <x:c r="K11" s="10" t="str">
        <x:f>IF('試用紀錄'!$X11=1,IF('試用紀錄'!$Q11="是",1,IF('試用紀錄'!$Q11="否",0,"")),"")</x:f>
      </x:c>
      <x:c r="L11" s="10" t="str">
        <x:f>IF(AND('試用紀錄'!$X11=1,COUNT('試用紀錄'!$T11)=1),'試用紀錄'!$T11,"")</x:f>
      </x:c>
      <x:c r="M11" s="10" t="str">
        <x:f>IF(AND('試用紀錄'!$X11=1,COUNT('試用紀錄'!$U11)=1),'試用紀錄'!$U11,"")</x:f>
      </x:c>
      <x:c r="N11" s="10" t="str">
        <x:f>IF(AND('試用紀錄'!$X11=1,COUNT('試用紀錄'!$V11)=1),'試用紀錄'!$V11,"")</x:f>
      </x:c>
      <x:c r="O11" s="10" t="str">
        <x:f>IF(AND('試用紀錄'!$X11=1,COUNT('試用紀錄'!$W11)=1),'試用紀錄'!$W11,"")</x:f>
      </x:c>
    </x:row>
    <x:row r="12">
      <x:c r="A12" s="1" t="str">
        <x:v>L2-01</x:v>
      </x:c>
      <x:c r="B12" s="1" t="str">
        <x:v>L2</x:v>
      </x:c>
      <x:c r="C12" s="1"/>
      <x:c r="D12" s="10" t="str">
        <x:f>IF('試用紀錄'!$X12=1,'試用紀錄'!G12,"")</x:f>
      </x:c>
      <x:c r="E12" s="10" t="str">
        <x:f>IF('試用紀錄'!$X12=1,'試用紀錄'!H12,"")</x:f>
      </x:c>
      <x:c r="F12" s="10" t="str">
        <x:f>IF('試用紀錄'!$X12=1,'試用紀錄'!I12,"")</x:f>
      </x:c>
      <x:c r="G12" s="10" t="str">
        <x:f>IF('試用紀錄'!$X12=1,'試用紀錄'!J12,"")</x:f>
      </x:c>
      <x:c r="H12" s="10" t="str">
        <x:f>IF('試用紀錄'!$X12=1,'試用紀錄'!K12,"")</x:f>
      </x:c>
      <x:c r="I12" s="10" t="str">
        <x:f>IF('試用紀錄'!$X12=1,'試用紀錄'!L12,"")</x:f>
      </x:c>
      <x:c r="J12" s="10" t="str">
        <x:f>IF('試用紀錄'!$X12=1,'試用紀錄'!$M12,"")</x:f>
      </x:c>
      <x:c r="K12" s="10" t="str">
        <x:f>IF('試用紀錄'!$X12=1,IF('試用紀錄'!$Q12="是",1,IF('試用紀錄'!$Q12="否",0,"")),"")</x:f>
      </x:c>
      <x:c r="L12" s="10" t="str">
        <x:f>IF(AND('試用紀錄'!$X12=1,COUNT('試用紀錄'!$T12)=1),'試用紀錄'!$T12,"")</x:f>
      </x:c>
      <x:c r="M12" s="10" t="str">
        <x:f>IF(AND('試用紀錄'!$X12=1,COUNT('試用紀錄'!$U12)=1),'試用紀錄'!$U12,"")</x:f>
      </x:c>
      <x:c r="N12" s="10" t="str">
        <x:f>IF(AND('試用紀錄'!$X12=1,COUNT('試用紀錄'!$V12)=1),'試用紀錄'!$V12,"")</x:f>
      </x:c>
      <x:c r="O12" s="10" t="str">
        <x:f>IF(AND('試用紀錄'!$X12=1,COUNT('試用紀錄'!$W12)=1),'試用紀錄'!$W12,"")</x:f>
      </x:c>
    </x:row>
    <x:row r="13">
      <x:c r="A13" s="1" t="str">
        <x:v>L2-02</x:v>
      </x:c>
      <x:c r="B13" s="1" t="str">
        <x:v>L2</x:v>
      </x:c>
      <x:c r="C13" s="1"/>
      <x:c r="D13" s="10" t="str">
        <x:f>IF('試用紀錄'!$X13=1,'試用紀錄'!G13,"")</x:f>
      </x:c>
      <x:c r="E13" s="10" t="str">
        <x:f>IF('試用紀錄'!$X13=1,'試用紀錄'!H13,"")</x:f>
      </x:c>
      <x:c r="F13" s="10" t="str">
        <x:f>IF('試用紀錄'!$X13=1,'試用紀錄'!I13,"")</x:f>
      </x:c>
      <x:c r="G13" s="10" t="str">
        <x:f>IF('試用紀錄'!$X13=1,'試用紀錄'!J13,"")</x:f>
      </x:c>
      <x:c r="H13" s="10" t="str">
        <x:f>IF('試用紀錄'!$X13=1,'試用紀錄'!K13,"")</x:f>
      </x:c>
      <x:c r="I13" s="10" t="str">
        <x:f>IF('試用紀錄'!$X13=1,'試用紀錄'!L13,"")</x:f>
      </x:c>
      <x:c r="J13" s="10" t="str">
        <x:f>IF('試用紀錄'!$X13=1,'試用紀錄'!$M13,"")</x:f>
      </x:c>
      <x:c r="K13" s="10" t="str">
        <x:f>IF('試用紀錄'!$X13=1,IF('試用紀錄'!$Q13="是",1,IF('試用紀錄'!$Q13="否",0,"")),"")</x:f>
      </x:c>
      <x:c r="L13" s="10" t="str">
        <x:f>IF(AND('試用紀錄'!$X13=1,COUNT('試用紀錄'!$T13)=1),'試用紀錄'!$T13,"")</x:f>
      </x:c>
      <x:c r="M13" s="10" t="str">
        <x:f>IF(AND('試用紀錄'!$X13=1,COUNT('試用紀錄'!$U13)=1),'試用紀錄'!$U13,"")</x:f>
      </x:c>
      <x:c r="N13" s="10" t="str">
        <x:f>IF(AND('試用紀錄'!$X13=1,COUNT('試用紀錄'!$V13)=1),'試用紀錄'!$V13,"")</x:f>
      </x:c>
      <x:c r="O13" s="10" t="str">
        <x:f>IF(AND('試用紀錄'!$X13=1,COUNT('試用紀錄'!$W13)=1),'試用紀錄'!$W13,"")</x:f>
      </x:c>
    </x:row>
    <x:row r="14">
      <x:c r="A14" s="1" t="str">
        <x:v>L2-03</x:v>
      </x:c>
      <x:c r="B14" s="1" t="str">
        <x:v>L2</x:v>
      </x:c>
      <x:c r="C14" s="1"/>
      <x:c r="D14" s="10" t="str">
        <x:f>IF('試用紀錄'!$X14=1,'試用紀錄'!G14,"")</x:f>
      </x:c>
      <x:c r="E14" s="10" t="str">
        <x:f>IF('試用紀錄'!$X14=1,'試用紀錄'!H14,"")</x:f>
      </x:c>
      <x:c r="F14" s="10" t="str">
        <x:f>IF('試用紀錄'!$X14=1,'試用紀錄'!I14,"")</x:f>
      </x:c>
      <x:c r="G14" s="10" t="str">
        <x:f>IF('試用紀錄'!$X14=1,'試用紀錄'!J14,"")</x:f>
      </x:c>
      <x:c r="H14" s="10" t="str">
        <x:f>IF('試用紀錄'!$X14=1,'試用紀錄'!K14,"")</x:f>
      </x:c>
      <x:c r="I14" s="10" t="str">
        <x:f>IF('試用紀錄'!$X14=1,'試用紀錄'!L14,"")</x:f>
      </x:c>
      <x:c r="J14" s="10" t="str">
        <x:f>IF('試用紀錄'!$X14=1,'試用紀錄'!$M14,"")</x:f>
      </x:c>
      <x:c r="K14" s="10" t="str">
        <x:f>IF('試用紀錄'!$X14=1,IF('試用紀錄'!$Q14="是",1,IF('試用紀錄'!$Q14="否",0,"")),"")</x:f>
      </x:c>
      <x:c r="L14" s="10" t="str">
        <x:f>IF(AND('試用紀錄'!$X14=1,COUNT('試用紀錄'!$T14)=1),'試用紀錄'!$T14,"")</x:f>
      </x:c>
      <x:c r="M14" s="10" t="str">
        <x:f>IF(AND('試用紀錄'!$X14=1,COUNT('試用紀錄'!$U14)=1),'試用紀錄'!$U14,"")</x:f>
      </x:c>
      <x:c r="N14" s="10" t="str">
        <x:f>IF(AND('試用紀錄'!$X14=1,COUNT('試用紀錄'!$V14)=1),'試用紀錄'!$V14,"")</x:f>
      </x:c>
      <x:c r="O14" s="10" t="str">
        <x:f>IF(AND('試用紀錄'!$X14=1,COUNT('試用紀錄'!$W14)=1),'試用紀錄'!$W14,"")</x:f>
      </x:c>
    </x:row>
    <x:row r="15">
      <x:c r="A15" s="1" t="str">
        <x:v>L2-04</x:v>
      </x:c>
      <x:c r="B15" s="1" t="str">
        <x:v>L2</x:v>
      </x:c>
      <x:c r="C15" s="1"/>
      <x:c r="D15" s="10" t="str">
        <x:f>IF('試用紀錄'!$X15=1,'試用紀錄'!G15,"")</x:f>
      </x:c>
      <x:c r="E15" s="10" t="str">
        <x:f>IF('試用紀錄'!$X15=1,'試用紀錄'!H15,"")</x:f>
      </x:c>
      <x:c r="F15" s="10" t="str">
        <x:f>IF('試用紀錄'!$X15=1,'試用紀錄'!I15,"")</x:f>
      </x:c>
      <x:c r="G15" s="10" t="str">
        <x:f>IF('試用紀錄'!$X15=1,'試用紀錄'!J15,"")</x:f>
      </x:c>
      <x:c r="H15" s="10" t="str">
        <x:f>IF('試用紀錄'!$X15=1,'試用紀錄'!K15,"")</x:f>
      </x:c>
      <x:c r="I15" s="10" t="str">
        <x:f>IF('試用紀錄'!$X15=1,'試用紀錄'!L15,"")</x:f>
      </x:c>
      <x:c r="J15" s="10" t="str">
        <x:f>IF('試用紀錄'!$X15=1,'試用紀錄'!$M15,"")</x:f>
      </x:c>
      <x:c r="K15" s="10" t="str">
        <x:f>IF('試用紀錄'!$X15=1,IF('試用紀錄'!$Q15="是",1,IF('試用紀錄'!$Q15="否",0,"")),"")</x:f>
      </x:c>
      <x:c r="L15" s="10" t="str">
        <x:f>IF(AND('試用紀錄'!$X15=1,COUNT('試用紀錄'!$T15)=1),'試用紀錄'!$T15,"")</x:f>
      </x:c>
      <x:c r="M15" s="10" t="str">
        <x:f>IF(AND('試用紀錄'!$X15=1,COUNT('試用紀錄'!$U15)=1),'試用紀錄'!$U15,"")</x:f>
      </x:c>
      <x:c r="N15" s="10" t="str">
        <x:f>IF(AND('試用紀錄'!$X15=1,COUNT('試用紀錄'!$V15)=1),'試用紀錄'!$V15,"")</x:f>
      </x:c>
      <x:c r="O15" s="10" t="str">
        <x:f>IF(AND('試用紀錄'!$X15=1,COUNT('試用紀錄'!$W15)=1),'試用紀錄'!$W15,"")</x:f>
      </x:c>
    </x:row>
    <x:row r="16">
      <x:c r="A16" s="1" t="str">
        <x:v>L2-05</x:v>
      </x:c>
      <x:c r="B16" s="1" t="str">
        <x:v>L2</x:v>
      </x:c>
      <x:c r="C16" s="1"/>
      <x:c r="D16" s="10" t="str">
        <x:f>IF('試用紀錄'!$X16=1,'試用紀錄'!G16,"")</x:f>
      </x:c>
      <x:c r="E16" s="10" t="str">
        <x:f>IF('試用紀錄'!$X16=1,'試用紀錄'!H16,"")</x:f>
      </x:c>
      <x:c r="F16" s="10" t="str">
        <x:f>IF('試用紀錄'!$X16=1,'試用紀錄'!I16,"")</x:f>
      </x:c>
      <x:c r="G16" s="10" t="str">
        <x:f>IF('試用紀錄'!$X16=1,'試用紀錄'!J16,"")</x:f>
      </x:c>
      <x:c r="H16" s="10" t="str">
        <x:f>IF('試用紀錄'!$X16=1,'試用紀錄'!K16,"")</x:f>
      </x:c>
      <x:c r="I16" s="10" t="str">
        <x:f>IF('試用紀錄'!$X16=1,'試用紀錄'!L16,"")</x:f>
      </x:c>
      <x:c r="J16" s="10" t="str">
        <x:f>IF('試用紀錄'!$X16=1,'試用紀錄'!$M16,"")</x:f>
      </x:c>
      <x:c r="K16" s="10" t="str">
        <x:f>IF('試用紀錄'!$X16=1,IF('試用紀錄'!$Q16="是",1,IF('試用紀錄'!$Q16="否",0,"")),"")</x:f>
      </x:c>
      <x:c r="L16" s="10" t="str">
        <x:f>IF(AND('試用紀錄'!$X16=1,COUNT('試用紀錄'!$T16)=1),'試用紀錄'!$T16,"")</x:f>
      </x:c>
      <x:c r="M16" s="10" t="str">
        <x:f>IF(AND('試用紀錄'!$X16=1,COUNT('試用紀錄'!$U16)=1),'試用紀錄'!$U16,"")</x:f>
      </x:c>
      <x:c r="N16" s="10" t="str">
        <x:f>IF(AND('試用紀錄'!$X16=1,COUNT('試用紀錄'!$V16)=1),'試用紀錄'!$V16,"")</x:f>
      </x:c>
      <x:c r="O16" s="10" t="str">
        <x:f>IF(AND('試用紀錄'!$X16=1,COUNT('試用紀錄'!$W16)=1),'試用紀錄'!$W16,"")</x:f>
      </x:c>
    </x:row>
    <x:row r="17">
      <x:c r="A17" s="1" t="str">
        <x:v>L2-06</x:v>
      </x:c>
      <x:c r="B17" s="1" t="str">
        <x:v>L2</x:v>
      </x:c>
      <x:c r="C17" s="1"/>
      <x:c r="D17" s="10" t="str">
        <x:f>IF('試用紀錄'!$X17=1,'試用紀錄'!G17,"")</x:f>
      </x:c>
      <x:c r="E17" s="10" t="str">
        <x:f>IF('試用紀錄'!$X17=1,'試用紀錄'!H17,"")</x:f>
      </x:c>
      <x:c r="F17" s="10" t="str">
        <x:f>IF('試用紀錄'!$X17=1,'試用紀錄'!I17,"")</x:f>
      </x:c>
      <x:c r="G17" s="10" t="str">
        <x:f>IF('試用紀錄'!$X17=1,'試用紀錄'!J17,"")</x:f>
      </x:c>
      <x:c r="H17" s="10" t="str">
        <x:f>IF('試用紀錄'!$X17=1,'試用紀錄'!K17,"")</x:f>
      </x:c>
      <x:c r="I17" s="10" t="str">
        <x:f>IF('試用紀錄'!$X17=1,'試用紀錄'!L17,"")</x:f>
      </x:c>
      <x:c r="J17" s="10" t="str">
        <x:f>IF('試用紀錄'!$X17=1,'試用紀錄'!$M17,"")</x:f>
      </x:c>
      <x:c r="K17" s="10" t="str">
        <x:f>IF('試用紀錄'!$X17=1,IF('試用紀錄'!$Q17="是",1,IF('試用紀錄'!$Q17="否",0,"")),"")</x:f>
      </x:c>
      <x:c r="L17" s="10" t="str">
        <x:f>IF(AND('試用紀錄'!$X17=1,COUNT('試用紀錄'!$T17)=1),'試用紀錄'!$T17,"")</x:f>
      </x:c>
      <x:c r="M17" s="10" t="str">
        <x:f>IF(AND('試用紀錄'!$X17=1,COUNT('試用紀錄'!$U17)=1),'試用紀錄'!$U17,"")</x:f>
      </x:c>
      <x:c r="N17" s="10" t="str">
        <x:f>IF(AND('試用紀錄'!$X17=1,COUNT('試用紀錄'!$V17)=1),'試用紀錄'!$V17,"")</x:f>
      </x:c>
      <x:c r="O17" s="10" t="str">
        <x:f>IF(AND('試用紀錄'!$X17=1,COUNT('試用紀錄'!$W17)=1),'試用紀錄'!$W17,"")</x:f>
      </x:c>
    </x:row>
    <x:row r="18">
      <x:c r="A18" s="1" t="str">
        <x:v>L2-07</x:v>
      </x:c>
      <x:c r="B18" s="1" t="str">
        <x:v>L2</x:v>
      </x:c>
      <x:c r="C18" s="1"/>
      <x:c r="D18" s="10" t="str">
        <x:f>IF('試用紀錄'!$X18=1,'試用紀錄'!G18,"")</x:f>
      </x:c>
      <x:c r="E18" s="10" t="str">
        <x:f>IF('試用紀錄'!$X18=1,'試用紀錄'!H18,"")</x:f>
      </x:c>
      <x:c r="F18" s="10" t="str">
        <x:f>IF('試用紀錄'!$X18=1,'試用紀錄'!I18,"")</x:f>
      </x:c>
      <x:c r="G18" s="10" t="str">
        <x:f>IF('試用紀錄'!$X18=1,'試用紀錄'!J18,"")</x:f>
      </x:c>
      <x:c r="H18" s="10" t="str">
        <x:f>IF('試用紀錄'!$X18=1,'試用紀錄'!K18,"")</x:f>
      </x:c>
      <x:c r="I18" s="10" t="str">
        <x:f>IF('試用紀錄'!$X18=1,'試用紀錄'!L18,"")</x:f>
      </x:c>
      <x:c r="J18" s="10" t="str">
        <x:f>IF('試用紀錄'!$X18=1,'試用紀錄'!$M18,"")</x:f>
      </x:c>
      <x:c r="K18" s="10" t="str">
        <x:f>IF('試用紀錄'!$X18=1,IF('試用紀錄'!$Q18="是",1,IF('試用紀錄'!$Q18="否",0,"")),"")</x:f>
      </x:c>
      <x:c r="L18" s="10" t="str">
        <x:f>IF(AND('試用紀錄'!$X18=1,COUNT('試用紀錄'!$T18)=1),'試用紀錄'!$T18,"")</x:f>
      </x:c>
      <x:c r="M18" s="10" t="str">
        <x:f>IF(AND('試用紀錄'!$X18=1,COUNT('試用紀錄'!$U18)=1),'試用紀錄'!$U18,"")</x:f>
      </x:c>
      <x:c r="N18" s="10" t="str">
        <x:f>IF(AND('試用紀錄'!$X18=1,COUNT('試用紀錄'!$V18)=1),'試用紀錄'!$V18,"")</x:f>
      </x:c>
      <x:c r="O18" s="10" t="str">
        <x:f>IF(AND('試用紀錄'!$X18=1,COUNT('試用紀錄'!$W18)=1),'試用紀錄'!$W18,"")</x:f>
      </x:c>
    </x:row>
    <x:row r="19">
      <x:c r="A19" s="1" t="str">
        <x:v>L2-08</x:v>
      </x:c>
      <x:c r="B19" s="1" t="str">
        <x:v>L2</x:v>
      </x:c>
      <x:c r="C19" s="1"/>
      <x:c r="D19" s="10" t="str">
        <x:f>IF('試用紀錄'!$X19=1,'試用紀錄'!G19,"")</x:f>
      </x:c>
      <x:c r="E19" s="10" t="str">
        <x:f>IF('試用紀錄'!$X19=1,'試用紀錄'!H19,"")</x:f>
      </x:c>
      <x:c r="F19" s="10" t="str">
        <x:f>IF('試用紀錄'!$X19=1,'試用紀錄'!I19,"")</x:f>
      </x:c>
      <x:c r="G19" s="10" t="str">
        <x:f>IF('試用紀錄'!$X19=1,'試用紀錄'!J19,"")</x:f>
      </x:c>
      <x:c r="H19" s="10" t="str">
        <x:f>IF('試用紀錄'!$X19=1,'試用紀錄'!K19,"")</x:f>
      </x:c>
      <x:c r="I19" s="10" t="str">
        <x:f>IF('試用紀錄'!$X19=1,'試用紀錄'!L19,"")</x:f>
      </x:c>
      <x:c r="J19" s="10" t="str">
        <x:f>IF('試用紀錄'!$X19=1,'試用紀錄'!$M19,"")</x:f>
      </x:c>
      <x:c r="K19" s="10" t="str">
        <x:f>IF('試用紀錄'!$X19=1,IF('試用紀錄'!$Q19="是",1,IF('試用紀錄'!$Q19="否",0,"")),"")</x:f>
      </x:c>
      <x:c r="L19" s="10" t="str">
        <x:f>IF(AND('試用紀錄'!$X19=1,COUNT('試用紀錄'!$T19)=1),'試用紀錄'!$T19,"")</x:f>
      </x:c>
      <x:c r="M19" s="10" t="str">
        <x:f>IF(AND('試用紀錄'!$X19=1,COUNT('試用紀錄'!$U19)=1),'試用紀錄'!$U19,"")</x:f>
      </x:c>
      <x:c r="N19" s="10" t="str">
        <x:f>IF(AND('試用紀錄'!$X19=1,COUNT('試用紀錄'!$V19)=1),'試用紀錄'!$V19,"")</x:f>
      </x:c>
      <x:c r="O19" s="10" t="str">
        <x:f>IF(AND('試用紀錄'!$X19=1,COUNT('試用紀錄'!$W19)=1),'試用紀錄'!$W19,"")</x:f>
      </x:c>
    </x:row>
    <x:row r="20">
      <x:c r="A20" s="1" t="str">
        <x:v>L2-09</x:v>
      </x:c>
      <x:c r="B20" s="1" t="str">
        <x:v>L2</x:v>
      </x:c>
      <x:c r="C20" s="1"/>
      <x:c r="D20" s="10" t="str">
        <x:f>IF('試用紀錄'!$X20=1,'試用紀錄'!G20,"")</x:f>
      </x:c>
      <x:c r="E20" s="10" t="str">
        <x:f>IF('試用紀錄'!$X20=1,'試用紀錄'!H20,"")</x:f>
      </x:c>
      <x:c r="F20" s="10" t="str">
        <x:f>IF('試用紀錄'!$X20=1,'試用紀錄'!I20,"")</x:f>
      </x:c>
      <x:c r="G20" s="10" t="str">
        <x:f>IF('試用紀錄'!$X20=1,'試用紀錄'!J20,"")</x:f>
      </x:c>
      <x:c r="H20" s="10" t="str">
        <x:f>IF('試用紀錄'!$X20=1,'試用紀錄'!K20,"")</x:f>
      </x:c>
      <x:c r="I20" s="10" t="str">
        <x:f>IF('試用紀錄'!$X20=1,'試用紀錄'!L20,"")</x:f>
      </x:c>
      <x:c r="J20" s="10" t="str">
        <x:f>IF('試用紀錄'!$X20=1,'試用紀錄'!$M20,"")</x:f>
      </x:c>
      <x:c r="K20" s="10" t="str">
        <x:f>IF('試用紀錄'!$X20=1,IF('試用紀錄'!$Q20="是",1,IF('試用紀錄'!$Q20="否",0,"")),"")</x:f>
      </x:c>
      <x:c r="L20" s="10" t="str">
        <x:f>IF(AND('試用紀錄'!$X20=1,COUNT('試用紀錄'!$T20)=1),'試用紀錄'!$T20,"")</x:f>
      </x:c>
      <x:c r="M20" s="10" t="str">
        <x:f>IF(AND('試用紀錄'!$X20=1,COUNT('試用紀錄'!$U20)=1),'試用紀錄'!$U20,"")</x:f>
      </x:c>
      <x:c r="N20" s="10" t="str">
        <x:f>IF(AND('試用紀錄'!$X20=1,COUNT('試用紀錄'!$V20)=1),'試用紀錄'!$V20,"")</x:f>
      </x:c>
      <x:c r="O20" s="10" t="str">
        <x:f>IF(AND('試用紀錄'!$X20=1,COUNT('試用紀錄'!$W20)=1),'試用紀錄'!$W20,"")</x:f>
      </x:c>
    </x:row>
    <x:row r="21">
      <x:c r="A21" s="1" t="str">
        <x:v>L2-10</x:v>
      </x:c>
      <x:c r="B21" s="1" t="str">
        <x:v>L2</x:v>
      </x:c>
      <x:c r="C21" s="1"/>
      <x:c r="D21" s="10" t="str">
        <x:f>IF('試用紀錄'!$X21=1,'試用紀錄'!G21,"")</x:f>
      </x:c>
      <x:c r="E21" s="10" t="str">
        <x:f>IF('試用紀錄'!$X21=1,'試用紀錄'!H21,"")</x:f>
      </x:c>
      <x:c r="F21" s="10" t="str">
        <x:f>IF('試用紀錄'!$X21=1,'試用紀錄'!I21,"")</x:f>
      </x:c>
      <x:c r="G21" s="10" t="str">
        <x:f>IF('試用紀錄'!$X21=1,'試用紀錄'!J21,"")</x:f>
      </x:c>
      <x:c r="H21" s="10" t="str">
        <x:f>IF('試用紀錄'!$X21=1,'試用紀錄'!K21,"")</x:f>
      </x:c>
      <x:c r="I21" s="10" t="str">
        <x:f>IF('試用紀錄'!$X21=1,'試用紀錄'!L21,"")</x:f>
      </x:c>
      <x:c r="J21" s="10" t="str">
        <x:f>IF('試用紀錄'!$X21=1,'試用紀錄'!$M21,"")</x:f>
      </x:c>
      <x:c r="K21" s="10" t="str">
        <x:f>IF('試用紀錄'!$X21=1,IF('試用紀錄'!$Q21="是",1,IF('試用紀錄'!$Q21="否",0,"")),"")</x:f>
      </x:c>
      <x:c r="L21" s="10" t="str">
        <x:f>IF(AND('試用紀錄'!$X21=1,COUNT('試用紀錄'!$T21)=1),'試用紀錄'!$T21,"")</x:f>
      </x:c>
      <x:c r="M21" s="10" t="str">
        <x:f>IF(AND('試用紀錄'!$X21=1,COUNT('試用紀錄'!$U21)=1),'試用紀錄'!$U21,"")</x:f>
      </x:c>
      <x:c r="N21" s="10" t="str">
        <x:f>IF(AND('試用紀錄'!$X21=1,COUNT('試用紀錄'!$V21)=1),'試用紀錄'!$V21,"")</x:f>
      </x:c>
      <x:c r="O21" s="10" t="str">
        <x:f>IF(AND('試用紀錄'!$X21=1,COUNT('試用紀錄'!$W21)=1),'試用紀錄'!$W21,"")</x:f>
      </x:c>
    </x:row>
    <x:row r="22">
      <x:c r="A22" s="1" t="str">
        <x:v>L3-01</x:v>
      </x:c>
      <x:c r="B22" s="1" t="str">
        <x:v>L3</x:v>
      </x:c>
      <x:c r="C22" s="1"/>
      <x:c r="D22" s="10" t="str">
        <x:f>IF('試用紀錄'!$X22=1,'試用紀錄'!G22,"")</x:f>
      </x:c>
      <x:c r="E22" s="10" t="str">
        <x:f>IF('試用紀錄'!$X22=1,'試用紀錄'!H22,"")</x:f>
      </x:c>
      <x:c r="F22" s="10" t="str">
        <x:f>IF('試用紀錄'!$X22=1,'試用紀錄'!I22,"")</x:f>
      </x:c>
      <x:c r="G22" s="10" t="str">
        <x:f>IF('試用紀錄'!$X22=1,'試用紀錄'!J22,"")</x:f>
      </x:c>
      <x:c r="H22" s="10" t="str">
        <x:f>IF('試用紀錄'!$X22=1,'試用紀錄'!K22,"")</x:f>
      </x:c>
      <x:c r="I22" s="10" t="str">
        <x:f>IF('試用紀錄'!$X22=1,'試用紀錄'!L22,"")</x:f>
      </x:c>
      <x:c r="J22" s="10" t="str">
        <x:f>IF('試用紀錄'!$X22=1,'試用紀錄'!$M22,"")</x:f>
      </x:c>
      <x:c r="K22" s="10" t="str">
        <x:f>IF('試用紀錄'!$X22=1,IF('試用紀錄'!$Q22="是",1,IF('試用紀錄'!$Q22="否",0,"")),"")</x:f>
      </x:c>
      <x:c r="L22" s="10" t="str">
        <x:f>IF(AND('試用紀錄'!$X22=1,COUNT('試用紀錄'!$T22)=1),'試用紀錄'!$T22,"")</x:f>
      </x:c>
      <x:c r="M22" s="10" t="str">
        <x:f>IF(AND('試用紀錄'!$X22=1,COUNT('試用紀錄'!$U22)=1),'試用紀錄'!$U22,"")</x:f>
      </x:c>
      <x:c r="N22" s="10" t="str">
        <x:f>IF(AND('試用紀錄'!$X22=1,COUNT('試用紀錄'!$V22)=1),'試用紀錄'!$V22,"")</x:f>
      </x:c>
      <x:c r="O22" s="10" t="str">
        <x:f>IF(AND('試用紀錄'!$X22=1,COUNT('試用紀錄'!$W22)=1),'試用紀錄'!$W22,"")</x:f>
      </x:c>
    </x:row>
    <x:row r="23">
      <x:c r="A23" s="1" t="str">
        <x:v>L3-02</x:v>
      </x:c>
      <x:c r="B23" s="1" t="str">
        <x:v>L3</x:v>
      </x:c>
      <x:c r="C23" s="1"/>
      <x:c r="D23" s="10" t="str">
        <x:f>IF('試用紀錄'!$X23=1,'試用紀錄'!G23,"")</x:f>
      </x:c>
      <x:c r="E23" s="10" t="str">
        <x:f>IF('試用紀錄'!$X23=1,'試用紀錄'!H23,"")</x:f>
      </x:c>
      <x:c r="F23" s="10" t="str">
        <x:f>IF('試用紀錄'!$X23=1,'試用紀錄'!I23,"")</x:f>
      </x:c>
      <x:c r="G23" s="10" t="str">
        <x:f>IF('試用紀錄'!$X23=1,'試用紀錄'!J23,"")</x:f>
      </x:c>
      <x:c r="H23" s="10" t="str">
        <x:f>IF('試用紀錄'!$X23=1,'試用紀錄'!K23,"")</x:f>
      </x:c>
      <x:c r="I23" s="10" t="str">
        <x:f>IF('試用紀錄'!$X23=1,'試用紀錄'!L23,"")</x:f>
      </x:c>
      <x:c r="J23" s="10" t="str">
        <x:f>IF('試用紀錄'!$X23=1,'試用紀錄'!$M23,"")</x:f>
      </x:c>
      <x:c r="K23" s="10" t="str">
        <x:f>IF('試用紀錄'!$X23=1,IF('試用紀錄'!$Q23="是",1,IF('試用紀錄'!$Q23="否",0,"")),"")</x:f>
      </x:c>
      <x:c r="L23" s="10" t="str">
        <x:f>IF(AND('試用紀錄'!$X23=1,COUNT('試用紀錄'!$T23)=1),'試用紀錄'!$T23,"")</x:f>
      </x:c>
      <x:c r="M23" s="10" t="str">
        <x:f>IF(AND('試用紀錄'!$X23=1,COUNT('試用紀錄'!$U23)=1),'試用紀錄'!$U23,"")</x:f>
      </x:c>
      <x:c r="N23" s="10" t="str">
        <x:f>IF(AND('試用紀錄'!$X23=1,COUNT('試用紀錄'!$V23)=1),'試用紀錄'!$V23,"")</x:f>
      </x:c>
      <x:c r="O23" s="10" t="str">
        <x:f>IF(AND('試用紀錄'!$X23=1,COUNT('試用紀錄'!$W23)=1),'試用紀錄'!$W23,"")</x:f>
      </x:c>
    </x:row>
    <x:row r="24">
      <x:c r="A24" s="1" t="str">
        <x:v>L3-03</x:v>
      </x:c>
      <x:c r="B24" s="1" t="str">
        <x:v>L3</x:v>
      </x:c>
      <x:c r="C24" s="1"/>
      <x:c r="D24" s="10" t="str">
        <x:f>IF('試用紀錄'!$X24=1,'試用紀錄'!G24,"")</x:f>
      </x:c>
      <x:c r="E24" s="10" t="str">
        <x:f>IF('試用紀錄'!$X24=1,'試用紀錄'!H24,"")</x:f>
      </x:c>
      <x:c r="F24" s="10" t="str">
        <x:f>IF('試用紀錄'!$X24=1,'試用紀錄'!I24,"")</x:f>
      </x:c>
      <x:c r="G24" s="10" t="str">
        <x:f>IF('試用紀錄'!$X24=1,'試用紀錄'!J24,"")</x:f>
      </x:c>
      <x:c r="H24" s="10" t="str">
        <x:f>IF('試用紀錄'!$X24=1,'試用紀錄'!K24,"")</x:f>
      </x:c>
      <x:c r="I24" s="10" t="str">
        <x:f>IF('試用紀錄'!$X24=1,'試用紀錄'!L24,"")</x:f>
      </x:c>
      <x:c r="J24" s="10" t="str">
        <x:f>IF('試用紀錄'!$X24=1,'試用紀錄'!$M24,"")</x:f>
      </x:c>
      <x:c r="K24" s="10" t="str">
        <x:f>IF('試用紀錄'!$X24=1,IF('試用紀錄'!$Q24="是",1,IF('試用紀錄'!$Q24="否",0,"")),"")</x:f>
      </x:c>
      <x:c r="L24" s="10" t="str">
        <x:f>IF(AND('試用紀錄'!$X24=1,COUNT('試用紀錄'!$T24)=1),'試用紀錄'!$T24,"")</x:f>
      </x:c>
      <x:c r="M24" s="10" t="str">
        <x:f>IF(AND('試用紀錄'!$X24=1,COUNT('試用紀錄'!$U24)=1),'試用紀錄'!$U24,"")</x:f>
      </x:c>
      <x:c r="N24" s="10" t="str">
        <x:f>IF(AND('試用紀錄'!$X24=1,COUNT('試用紀錄'!$V24)=1),'試用紀錄'!$V24,"")</x:f>
      </x:c>
      <x:c r="O24" s="10" t="str">
        <x:f>IF(AND('試用紀錄'!$X24=1,COUNT('試用紀錄'!$W24)=1),'試用紀錄'!$W24,"")</x:f>
      </x:c>
    </x:row>
    <x:row r="25">
      <x:c r="A25" s="1" t="str">
        <x:v>L3-04</x:v>
      </x:c>
      <x:c r="B25" s="1" t="str">
        <x:v>L3</x:v>
      </x:c>
      <x:c r="C25" s="1"/>
      <x:c r="D25" s="10" t="str">
        <x:f>IF('試用紀錄'!$X25=1,'試用紀錄'!G25,"")</x:f>
      </x:c>
      <x:c r="E25" s="10" t="str">
        <x:f>IF('試用紀錄'!$X25=1,'試用紀錄'!H25,"")</x:f>
      </x:c>
      <x:c r="F25" s="10" t="str">
        <x:f>IF('試用紀錄'!$X25=1,'試用紀錄'!I25,"")</x:f>
      </x:c>
      <x:c r="G25" s="10" t="str">
        <x:f>IF('試用紀錄'!$X25=1,'試用紀錄'!J25,"")</x:f>
      </x:c>
      <x:c r="H25" s="10" t="str">
        <x:f>IF('試用紀錄'!$X25=1,'試用紀錄'!K25,"")</x:f>
      </x:c>
      <x:c r="I25" s="10" t="str">
        <x:f>IF('試用紀錄'!$X25=1,'試用紀錄'!L25,"")</x:f>
      </x:c>
      <x:c r="J25" s="10" t="str">
        <x:f>IF('試用紀錄'!$X25=1,'試用紀錄'!$M25,"")</x:f>
      </x:c>
      <x:c r="K25" s="10" t="str">
        <x:f>IF('試用紀錄'!$X25=1,IF('試用紀錄'!$Q25="是",1,IF('試用紀錄'!$Q25="否",0,"")),"")</x:f>
      </x:c>
      <x:c r="L25" s="10" t="str">
        <x:f>IF(AND('試用紀錄'!$X25=1,COUNT('試用紀錄'!$T25)=1),'試用紀錄'!$T25,"")</x:f>
      </x:c>
      <x:c r="M25" s="10" t="str">
        <x:f>IF(AND('試用紀錄'!$X25=1,COUNT('試用紀錄'!$U25)=1),'試用紀錄'!$U25,"")</x:f>
      </x:c>
      <x:c r="N25" s="10" t="str">
        <x:f>IF(AND('試用紀錄'!$X25=1,COUNT('試用紀錄'!$V25)=1),'試用紀錄'!$V25,"")</x:f>
      </x:c>
      <x:c r="O25" s="10" t="str">
        <x:f>IF(AND('試用紀錄'!$X25=1,COUNT('試用紀錄'!$W25)=1),'試用紀錄'!$W25,"")</x:f>
      </x:c>
    </x:row>
    <x:row r="26">
      <x:c r="A26" s="1" t="str">
        <x:v>L3-05</x:v>
      </x:c>
      <x:c r="B26" s="1" t="str">
        <x:v>L3</x:v>
      </x:c>
      <x:c r="C26" s="1"/>
      <x:c r="D26" s="10" t="str">
        <x:f>IF('試用紀錄'!$X26=1,'試用紀錄'!G26,"")</x:f>
      </x:c>
      <x:c r="E26" s="10" t="str">
        <x:f>IF('試用紀錄'!$X26=1,'試用紀錄'!H26,"")</x:f>
      </x:c>
      <x:c r="F26" s="10" t="str">
        <x:f>IF('試用紀錄'!$X26=1,'試用紀錄'!I26,"")</x:f>
      </x:c>
      <x:c r="G26" s="10" t="str">
        <x:f>IF('試用紀錄'!$X26=1,'試用紀錄'!J26,"")</x:f>
      </x:c>
      <x:c r="H26" s="10" t="str">
        <x:f>IF('試用紀錄'!$X26=1,'試用紀錄'!K26,"")</x:f>
      </x:c>
      <x:c r="I26" s="10" t="str">
        <x:f>IF('試用紀錄'!$X26=1,'試用紀錄'!L26,"")</x:f>
      </x:c>
      <x:c r="J26" s="10" t="str">
        <x:f>IF('試用紀錄'!$X26=1,'試用紀錄'!$M26,"")</x:f>
      </x:c>
      <x:c r="K26" s="10" t="str">
        <x:f>IF('試用紀錄'!$X26=1,IF('試用紀錄'!$Q26="是",1,IF('試用紀錄'!$Q26="否",0,"")),"")</x:f>
      </x:c>
      <x:c r="L26" s="10" t="str">
        <x:f>IF(AND('試用紀錄'!$X26=1,COUNT('試用紀錄'!$T26)=1),'試用紀錄'!$T26,"")</x:f>
      </x:c>
      <x:c r="M26" s="10" t="str">
        <x:f>IF(AND('試用紀錄'!$X26=1,COUNT('試用紀錄'!$U26)=1),'試用紀錄'!$U26,"")</x:f>
      </x:c>
      <x:c r="N26" s="10" t="str">
        <x:f>IF(AND('試用紀錄'!$X26=1,COUNT('試用紀錄'!$V26)=1),'試用紀錄'!$V26,"")</x:f>
      </x:c>
      <x:c r="O26" s="10" t="str">
        <x:f>IF(AND('試用紀錄'!$X26=1,COUNT('試用紀錄'!$W26)=1),'試用紀錄'!$W26,"")</x:f>
      </x:c>
    </x:row>
    <x:row r="27">
      <x:c r="A27" s="1" t="str">
        <x:v>L3-06</x:v>
      </x:c>
      <x:c r="B27" s="1" t="str">
        <x:v>L3</x:v>
      </x:c>
      <x:c r="C27" s="1"/>
      <x:c r="D27" s="10" t="str">
        <x:f>IF('試用紀錄'!$X27=1,'試用紀錄'!G27,"")</x:f>
      </x:c>
      <x:c r="E27" s="10" t="str">
        <x:f>IF('試用紀錄'!$X27=1,'試用紀錄'!H27,"")</x:f>
      </x:c>
      <x:c r="F27" s="10" t="str">
        <x:f>IF('試用紀錄'!$X27=1,'試用紀錄'!I27,"")</x:f>
      </x:c>
      <x:c r="G27" s="10" t="str">
        <x:f>IF('試用紀錄'!$X27=1,'試用紀錄'!J27,"")</x:f>
      </x:c>
      <x:c r="H27" s="10" t="str">
        <x:f>IF('試用紀錄'!$X27=1,'試用紀錄'!K27,"")</x:f>
      </x:c>
      <x:c r="I27" s="10" t="str">
        <x:f>IF('試用紀錄'!$X27=1,'試用紀錄'!L27,"")</x:f>
      </x:c>
      <x:c r="J27" s="10" t="str">
        <x:f>IF('試用紀錄'!$X27=1,'試用紀錄'!$M27,"")</x:f>
      </x:c>
      <x:c r="K27" s="10" t="str">
        <x:f>IF('試用紀錄'!$X27=1,IF('試用紀錄'!$Q27="是",1,IF('試用紀錄'!$Q27="否",0,"")),"")</x:f>
      </x:c>
      <x:c r="L27" s="10" t="str">
        <x:f>IF(AND('試用紀錄'!$X27=1,COUNT('試用紀錄'!$T27)=1),'試用紀錄'!$T27,"")</x:f>
      </x:c>
      <x:c r="M27" s="10" t="str">
        <x:f>IF(AND('試用紀錄'!$X27=1,COUNT('試用紀錄'!$U27)=1),'試用紀錄'!$U27,"")</x:f>
      </x:c>
      <x:c r="N27" s="10" t="str">
        <x:f>IF(AND('試用紀錄'!$X27=1,COUNT('試用紀錄'!$V27)=1),'試用紀錄'!$V27,"")</x:f>
      </x:c>
      <x:c r="O27" s="10" t="str">
        <x:f>IF(AND('試用紀錄'!$X27=1,COUNT('試用紀錄'!$W27)=1),'試用紀錄'!$W27,"")</x:f>
      </x:c>
    </x:row>
    <x:row r="28">
      <x:c r="A28" s="1" t="str">
        <x:v>L3-07</x:v>
      </x:c>
      <x:c r="B28" s="1" t="str">
        <x:v>L3</x:v>
      </x:c>
      <x:c r="C28" s="1"/>
      <x:c r="D28" s="10" t="str">
        <x:f>IF('試用紀錄'!$X28=1,'試用紀錄'!G28,"")</x:f>
      </x:c>
      <x:c r="E28" s="10" t="str">
        <x:f>IF('試用紀錄'!$X28=1,'試用紀錄'!H28,"")</x:f>
      </x:c>
      <x:c r="F28" s="10" t="str">
        <x:f>IF('試用紀錄'!$X28=1,'試用紀錄'!I28,"")</x:f>
      </x:c>
      <x:c r="G28" s="10" t="str">
        <x:f>IF('試用紀錄'!$X28=1,'試用紀錄'!J28,"")</x:f>
      </x:c>
      <x:c r="H28" s="10" t="str">
        <x:f>IF('試用紀錄'!$X28=1,'試用紀錄'!K28,"")</x:f>
      </x:c>
      <x:c r="I28" s="10" t="str">
        <x:f>IF('試用紀錄'!$X28=1,'試用紀錄'!L28,"")</x:f>
      </x:c>
      <x:c r="J28" s="10" t="str">
        <x:f>IF('試用紀錄'!$X28=1,'試用紀錄'!$M28,"")</x:f>
      </x:c>
      <x:c r="K28" s="10" t="str">
        <x:f>IF('試用紀錄'!$X28=1,IF('試用紀錄'!$Q28="是",1,IF('試用紀錄'!$Q28="否",0,"")),"")</x:f>
      </x:c>
      <x:c r="L28" s="10" t="str">
        <x:f>IF(AND('試用紀錄'!$X28=1,COUNT('試用紀錄'!$T28)=1),'試用紀錄'!$T28,"")</x:f>
      </x:c>
      <x:c r="M28" s="10" t="str">
        <x:f>IF(AND('試用紀錄'!$X28=1,COUNT('試用紀錄'!$U28)=1),'試用紀錄'!$U28,"")</x:f>
      </x:c>
      <x:c r="N28" s="10" t="str">
        <x:f>IF(AND('試用紀錄'!$X28=1,COUNT('試用紀錄'!$V28)=1),'試用紀錄'!$V28,"")</x:f>
      </x:c>
      <x:c r="O28" s="10" t="str">
        <x:f>IF(AND('試用紀錄'!$X28=1,COUNT('試用紀錄'!$W28)=1),'試用紀錄'!$W28,"")</x:f>
      </x:c>
    </x:row>
    <x:row r="29">
      <x:c r="A29" s="1" t="str">
        <x:v>L3-08</x:v>
      </x:c>
      <x:c r="B29" s="1" t="str">
        <x:v>L3</x:v>
      </x:c>
      <x:c r="C29" s="1"/>
      <x:c r="D29" s="10" t="str">
        <x:f>IF('試用紀錄'!$X29=1,'試用紀錄'!G29,"")</x:f>
      </x:c>
      <x:c r="E29" s="10" t="str">
        <x:f>IF('試用紀錄'!$X29=1,'試用紀錄'!H29,"")</x:f>
      </x:c>
      <x:c r="F29" s="10" t="str">
        <x:f>IF('試用紀錄'!$X29=1,'試用紀錄'!I29,"")</x:f>
      </x:c>
      <x:c r="G29" s="10" t="str">
        <x:f>IF('試用紀錄'!$X29=1,'試用紀錄'!J29,"")</x:f>
      </x:c>
      <x:c r="H29" s="10" t="str">
        <x:f>IF('試用紀錄'!$X29=1,'試用紀錄'!K29,"")</x:f>
      </x:c>
      <x:c r="I29" s="10" t="str">
        <x:f>IF('試用紀錄'!$X29=1,'試用紀錄'!L29,"")</x:f>
      </x:c>
      <x:c r="J29" s="10" t="str">
        <x:f>IF('試用紀錄'!$X29=1,'試用紀錄'!$M29,"")</x:f>
      </x:c>
      <x:c r="K29" s="10" t="str">
        <x:f>IF('試用紀錄'!$X29=1,IF('試用紀錄'!$Q29="是",1,IF('試用紀錄'!$Q29="否",0,"")),"")</x:f>
      </x:c>
      <x:c r="L29" s="10" t="str">
        <x:f>IF(AND('試用紀錄'!$X29=1,COUNT('試用紀錄'!$T29)=1),'試用紀錄'!$T29,"")</x:f>
      </x:c>
      <x:c r="M29" s="10" t="str">
        <x:f>IF(AND('試用紀錄'!$X29=1,COUNT('試用紀錄'!$U29)=1),'試用紀錄'!$U29,"")</x:f>
      </x:c>
      <x:c r="N29" s="10" t="str">
        <x:f>IF(AND('試用紀錄'!$X29=1,COUNT('試用紀錄'!$V29)=1),'試用紀錄'!$V29,"")</x:f>
      </x:c>
      <x:c r="O29" s="10" t="str">
        <x:f>IF(AND('試用紀錄'!$X29=1,COUNT('試用紀錄'!$W29)=1),'試用紀錄'!$W29,"")</x:f>
      </x:c>
    </x:row>
    <x:row r="30">
      <x:c r="A30" s="1" t="str">
        <x:v>L3-09</x:v>
      </x:c>
      <x:c r="B30" s="1" t="str">
        <x:v>L3</x:v>
      </x:c>
      <x:c r="C30" s="1"/>
      <x:c r="D30" s="10" t="str">
        <x:f>IF('試用紀錄'!$X30=1,'試用紀錄'!G30,"")</x:f>
      </x:c>
      <x:c r="E30" s="10" t="str">
        <x:f>IF('試用紀錄'!$X30=1,'試用紀錄'!H30,"")</x:f>
      </x:c>
      <x:c r="F30" s="10" t="str">
        <x:f>IF('試用紀錄'!$X30=1,'試用紀錄'!I30,"")</x:f>
      </x:c>
      <x:c r="G30" s="10" t="str">
        <x:f>IF('試用紀錄'!$X30=1,'試用紀錄'!J30,"")</x:f>
      </x:c>
      <x:c r="H30" s="10" t="str">
        <x:f>IF('試用紀錄'!$X30=1,'試用紀錄'!K30,"")</x:f>
      </x:c>
      <x:c r="I30" s="10" t="str">
        <x:f>IF('試用紀錄'!$X30=1,'試用紀錄'!L30,"")</x:f>
      </x:c>
      <x:c r="J30" s="10" t="str">
        <x:f>IF('試用紀錄'!$X30=1,'試用紀錄'!$M30,"")</x:f>
      </x:c>
      <x:c r="K30" s="10" t="str">
        <x:f>IF('試用紀錄'!$X30=1,IF('試用紀錄'!$Q30="是",1,IF('試用紀錄'!$Q30="否",0,"")),"")</x:f>
      </x:c>
      <x:c r="L30" s="10" t="str">
        <x:f>IF(AND('試用紀錄'!$X30=1,COUNT('試用紀錄'!$T30)=1),'試用紀錄'!$T30,"")</x:f>
      </x:c>
      <x:c r="M30" s="10" t="str">
        <x:f>IF(AND('試用紀錄'!$X30=1,COUNT('試用紀錄'!$U30)=1),'試用紀錄'!$U30,"")</x:f>
      </x:c>
      <x:c r="N30" s="10" t="str">
        <x:f>IF(AND('試用紀錄'!$X30=1,COUNT('試用紀錄'!$V30)=1),'試用紀錄'!$V30,"")</x:f>
      </x:c>
      <x:c r="O30" s="10" t="str">
        <x:f>IF(AND('試用紀錄'!$X30=1,COUNT('試用紀錄'!$W30)=1),'試用紀錄'!$W30,"")</x:f>
      </x:c>
    </x:row>
    <x:row r="31">
      <x:c r="A31" s="1" t="str">
        <x:v>L3-10</x:v>
      </x:c>
      <x:c r="B31" s="1" t="str">
        <x:v>L3</x:v>
      </x:c>
      <x:c r="C31" s="1"/>
      <x:c r="D31" s="10" t="str">
        <x:f>IF('試用紀錄'!$X31=1,'試用紀錄'!G31,"")</x:f>
      </x:c>
      <x:c r="E31" s="10" t="str">
        <x:f>IF('試用紀錄'!$X31=1,'試用紀錄'!H31,"")</x:f>
      </x:c>
      <x:c r="F31" s="10" t="str">
        <x:f>IF('試用紀錄'!$X31=1,'試用紀錄'!I31,"")</x:f>
      </x:c>
      <x:c r="G31" s="10" t="str">
        <x:f>IF('試用紀錄'!$X31=1,'試用紀錄'!J31,"")</x:f>
      </x:c>
      <x:c r="H31" s="10" t="str">
        <x:f>IF('試用紀錄'!$X31=1,'試用紀錄'!K31,"")</x:f>
      </x:c>
      <x:c r="I31" s="10" t="str">
        <x:f>IF('試用紀錄'!$X31=1,'試用紀錄'!L31,"")</x:f>
      </x:c>
      <x:c r="J31" s="10" t="str">
        <x:f>IF('試用紀錄'!$X31=1,'試用紀錄'!$M31,"")</x:f>
      </x:c>
      <x:c r="K31" s="10" t="str">
        <x:f>IF('試用紀錄'!$X31=1,IF('試用紀錄'!$Q31="是",1,IF('試用紀錄'!$Q31="否",0,"")),"")</x:f>
      </x:c>
      <x:c r="L31" s="10" t="str">
        <x:f>IF(AND('試用紀錄'!$X31=1,COUNT('試用紀錄'!$T31)=1),'試用紀錄'!$T31,"")</x:f>
      </x:c>
      <x:c r="M31" s="10" t="str">
        <x:f>IF(AND('試用紀錄'!$X31=1,COUNT('試用紀錄'!$U31)=1),'試用紀錄'!$U31,"")</x:f>
      </x:c>
      <x:c r="N31" s="10" t="str">
        <x:f>IF(AND('試用紀錄'!$X31=1,COUNT('試用紀錄'!$V31)=1),'試用紀錄'!$V31,"")</x:f>
      </x:c>
      <x:c r="O31" s="10" t="str">
        <x:f>IF(AND('試用紀錄'!$X31=1,COUNT('試用紀錄'!$W31)=1),'試用紀錄'!$W31,"")</x:f>
      </x:c>
    </x:row>
    <x:row r="32">
      <x:c r="A32" s="1" t="str">
        <x:v>L4-01</x:v>
      </x:c>
      <x:c r="B32" s="1" t="str">
        <x:v>L4</x:v>
      </x:c>
      <x:c r="C32" s="1"/>
      <x:c r="D32" s="10" t="str">
        <x:f>IF('試用紀錄'!$X32=1,'試用紀錄'!G32,"")</x:f>
      </x:c>
      <x:c r="E32" s="10" t="str">
        <x:f>IF('試用紀錄'!$X32=1,'試用紀錄'!H32,"")</x:f>
      </x:c>
      <x:c r="F32" s="10" t="str">
        <x:f>IF('試用紀錄'!$X32=1,'試用紀錄'!I32,"")</x:f>
      </x:c>
      <x:c r="G32" s="10" t="str">
        <x:f>IF('試用紀錄'!$X32=1,'試用紀錄'!J32,"")</x:f>
      </x:c>
      <x:c r="H32" s="10" t="str">
        <x:f>IF('試用紀錄'!$X32=1,'試用紀錄'!K32,"")</x:f>
      </x:c>
      <x:c r="I32" s="10" t="str">
        <x:f>IF('試用紀錄'!$X32=1,'試用紀錄'!L32,"")</x:f>
      </x:c>
      <x:c r="J32" s="10" t="str">
        <x:f>IF('試用紀錄'!$X32=1,'試用紀錄'!$M32,"")</x:f>
      </x:c>
      <x:c r="K32" s="10" t="str">
        <x:f>IF('試用紀錄'!$X32=1,IF('試用紀錄'!$Q32="是",1,IF('試用紀錄'!$Q32="否",0,"")),"")</x:f>
      </x:c>
      <x:c r="L32" s="10" t="str">
        <x:f>IF(AND('試用紀錄'!$X32=1,COUNT('試用紀錄'!$T32)=1),'試用紀錄'!$T32,"")</x:f>
      </x:c>
      <x:c r="M32" s="10" t="str">
        <x:f>IF(AND('試用紀錄'!$X32=1,COUNT('試用紀錄'!$U32)=1),'試用紀錄'!$U32,"")</x:f>
      </x:c>
      <x:c r="N32" s="10" t="str">
        <x:f>IF(AND('試用紀錄'!$X32=1,COUNT('試用紀錄'!$V32)=1),'試用紀錄'!$V32,"")</x:f>
      </x:c>
      <x:c r="O32" s="10" t="str">
        <x:f>IF(AND('試用紀錄'!$X32=1,COUNT('試用紀錄'!$W32)=1),'試用紀錄'!$W32,"")</x:f>
      </x:c>
    </x:row>
    <x:row r="33">
      <x:c r="A33" s="1" t="str">
        <x:v>L4-02</x:v>
      </x:c>
      <x:c r="B33" s="1" t="str">
        <x:v>L4</x:v>
      </x:c>
      <x:c r="C33" s="1"/>
      <x:c r="D33" s="10" t="str">
        <x:f>IF('試用紀錄'!$X33=1,'試用紀錄'!G33,"")</x:f>
      </x:c>
      <x:c r="E33" s="10" t="str">
        <x:f>IF('試用紀錄'!$X33=1,'試用紀錄'!H33,"")</x:f>
      </x:c>
      <x:c r="F33" s="10" t="str">
        <x:f>IF('試用紀錄'!$X33=1,'試用紀錄'!I33,"")</x:f>
      </x:c>
      <x:c r="G33" s="10" t="str">
        <x:f>IF('試用紀錄'!$X33=1,'試用紀錄'!J33,"")</x:f>
      </x:c>
      <x:c r="H33" s="10" t="str">
        <x:f>IF('試用紀錄'!$X33=1,'試用紀錄'!K33,"")</x:f>
      </x:c>
      <x:c r="I33" s="10" t="str">
        <x:f>IF('試用紀錄'!$X33=1,'試用紀錄'!L33,"")</x:f>
      </x:c>
      <x:c r="J33" s="10" t="str">
        <x:f>IF('試用紀錄'!$X33=1,'試用紀錄'!$M33,"")</x:f>
      </x:c>
      <x:c r="K33" s="10" t="str">
        <x:f>IF('試用紀錄'!$X33=1,IF('試用紀錄'!$Q33="是",1,IF('試用紀錄'!$Q33="否",0,"")),"")</x:f>
      </x:c>
      <x:c r="L33" s="10" t="str">
        <x:f>IF(AND('試用紀錄'!$X33=1,COUNT('試用紀錄'!$T33)=1),'試用紀錄'!$T33,"")</x:f>
      </x:c>
      <x:c r="M33" s="10" t="str">
        <x:f>IF(AND('試用紀錄'!$X33=1,COUNT('試用紀錄'!$U33)=1),'試用紀錄'!$U33,"")</x:f>
      </x:c>
      <x:c r="N33" s="10" t="str">
        <x:f>IF(AND('試用紀錄'!$X33=1,COUNT('試用紀錄'!$V33)=1),'試用紀錄'!$V33,"")</x:f>
      </x:c>
      <x:c r="O33" s="10" t="str">
        <x:f>IF(AND('試用紀錄'!$X33=1,COUNT('試用紀錄'!$W33)=1),'試用紀錄'!$W33,"")</x:f>
      </x:c>
    </x:row>
    <x:row r="34">
      <x:c r="A34" s="1" t="str">
        <x:v>L4-03</x:v>
      </x:c>
      <x:c r="B34" s="1" t="str">
        <x:v>L4</x:v>
      </x:c>
      <x:c r="C34" s="1"/>
      <x:c r="D34" s="10" t="str">
        <x:f>IF('試用紀錄'!$X34=1,'試用紀錄'!G34,"")</x:f>
      </x:c>
      <x:c r="E34" s="10" t="str">
        <x:f>IF('試用紀錄'!$X34=1,'試用紀錄'!H34,"")</x:f>
      </x:c>
      <x:c r="F34" s="10" t="str">
        <x:f>IF('試用紀錄'!$X34=1,'試用紀錄'!I34,"")</x:f>
      </x:c>
      <x:c r="G34" s="10" t="str">
        <x:f>IF('試用紀錄'!$X34=1,'試用紀錄'!J34,"")</x:f>
      </x:c>
      <x:c r="H34" s="10" t="str">
        <x:f>IF('試用紀錄'!$X34=1,'試用紀錄'!K34,"")</x:f>
      </x:c>
      <x:c r="I34" s="10" t="str">
        <x:f>IF('試用紀錄'!$X34=1,'試用紀錄'!L34,"")</x:f>
      </x:c>
      <x:c r="J34" s="10" t="str">
        <x:f>IF('試用紀錄'!$X34=1,'試用紀錄'!$M34,"")</x:f>
      </x:c>
      <x:c r="K34" s="10" t="str">
        <x:f>IF('試用紀錄'!$X34=1,IF('試用紀錄'!$Q34="是",1,IF('試用紀錄'!$Q34="否",0,"")),"")</x:f>
      </x:c>
      <x:c r="L34" s="10" t="str">
        <x:f>IF(AND('試用紀錄'!$X34=1,COUNT('試用紀錄'!$T34)=1),'試用紀錄'!$T34,"")</x:f>
      </x:c>
      <x:c r="M34" s="10" t="str">
        <x:f>IF(AND('試用紀錄'!$X34=1,COUNT('試用紀錄'!$U34)=1),'試用紀錄'!$U34,"")</x:f>
      </x:c>
      <x:c r="N34" s="10" t="str">
        <x:f>IF(AND('試用紀錄'!$X34=1,COUNT('試用紀錄'!$V34)=1),'試用紀錄'!$V34,"")</x:f>
      </x:c>
      <x:c r="O34" s="10" t="str">
        <x:f>IF(AND('試用紀錄'!$X34=1,COUNT('試用紀錄'!$W34)=1),'試用紀錄'!$W34,"")</x:f>
      </x:c>
    </x:row>
    <x:row r="35">
      <x:c r="A35" s="1" t="str">
        <x:v>L4-04</x:v>
      </x:c>
      <x:c r="B35" s="1" t="str">
        <x:v>L4</x:v>
      </x:c>
      <x:c r="C35" s="1"/>
      <x:c r="D35" s="10" t="str">
        <x:f>IF('試用紀錄'!$X35=1,'試用紀錄'!G35,"")</x:f>
      </x:c>
      <x:c r="E35" s="10" t="str">
        <x:f>IF('試用紀錄'!$X35=1,'試用紀錄'!H35,"")</x:f>
      </x:c>
      <x:c r="F35" s="10" t="str">
        <x:f>IF('試用紀錄'!$X35=1,'試用紀錄'!I35,"")</x:f>
      </x:c>
      <x:c r="G35" s="10" t="str">
        <x:f>IF('試用紀錄'!$X35=1,'試用紀錄'!J35,"")</x:f>
      </x:c>
      <x:c r="H35" s="10" t="str">
        <x:f>IF('試用紀錄'!$X35=1,'試用紀錄'!K35,"")</x:f>
      </x:c>
      <x:c r="I35" s="10" t="str">
        <x:f>IF('試用紀錄'!$X35=1,'試用紀錄'!L35,"")</x:f>
      </x:c>
      <x:c r="J35" s="10" t="str">
        <x:f>IF('試用紀錄'!$X35=1,'試用紀錄'!$M35,"")</x:f>
      </x:c>
      <x:c r="K35" s="10" t="str">
        <x:f>IF('試用紀錄'!$X35=1,IF('試用紀錄'!$Q35="是",1,IF('試用紀錄'!$Q35="否",0,"")),"")</x:f>
      </x:c>
      <x:c r="L35" s="10" t="str">
        <x:f>IF(AND('試用紀錄'!$X35=1,COUNT('試用紀錄'!$T35)=1),'試用紀錄'!$T35,"")</x:f>
      </x:c>
      <x:c r="M35" s="10" t="str">
        <x:f>IF(AND('試用紀錄'!$X35=1,COUNT('試用紀錄'!$U35)=1),'試用紀錄'!$U35,"")</x:f>
      </x:c>
      <x:c r="N35" s="10" t="str">
        <x:f>IF(AND('試用紀錄'!$X35=1,COUNT('試用紀錄'!$V35)=1),'試用紀錄'!$V35,"")</x:f>
      </x:c>
      <x:c r="O35" s="10" t="str">
        <x:f>IF(AND('試用紀錄'!$X35=1,COUNT('試用紀錄'!$W35)=1),'試用紀錄'!$W35,"")</x:f>
      </x:c>
    </x:row>
    <x:row r="36">
      <x:c r="A36" s="1" t="str">
        <x:v>L4-05</x:v>
      </x:c>
      <x:c r="B36" s="1" t="str">
        <x:v>L4</x:v>
      </x:c>
      <x:c r="C36" s="1"/>
      <x:c r="D36" s="10" t="str">
        <x:f>IF('試用紀錄'!$X36=1,'試用紀錄'!G36,"")</x:f>
      </x:c>
      <x:c r="E36" s="10" t="str">
        <x:f>IF('試用紀錄'!$X36=1,'試用紀錄'!H36,"")</x:f>
      </x:c>
      <x:c r="F36" s="10" t="str">
        <x:f>IF('試用紀錄'!$X36=1,'試用紀錄'!I36,"")</x:f>
      </x:c>
      <x:c r="G36" s="10" t="str">
        <x:f>IF('試用紀錄'!$X36=1,'試用紀錄'!J36,"")</x:f>
      </x:c>
      <x:c r="H36" s="10" t="str">
        <x:f>IF('試用紀錄'!$X36=1,'試用紀錄'!K36,"")</x:f>
      </x:c>
      <x:c r="I36" s="10" t="str">
        <x:f>IF('試用紀錄'!$X36=1,'試用紀錄'!L36,"")</x:f>
      </x:c>
      <x:c r="J36" s="10" t="str">
        <x:f>IF('試用紀錄'!$X36=1,'試用紀錄'!$M36,"")</x:f>
      </x:c>
      <x:c r="K36" s="10" t="str">
        <x:f>IF('試用紀錄'!$X36=1,IF('試用紀錄'!$Q36="是",1,IF('試用紀錄'!$Q36="否",0,"")),"")</x:f>
      </x:c>
      <x:c r="L36" s="10" t="str">
        <x:f>IF(AND('試用紀錄'!$X36=1,COUNT('試用紀錄'!$T36)=1),'試用紀錄'!$T36,"")</x:f>
      </x:c>
      <x:c r="M36" s="10" t="str">
        <x:f>IF(AND('試用紀錄'!$X36=1,COUNT('試用紀錄'!$U36)=1),'試用紀錄'!$U36,"")</x:f>
      </x:c>
      <x:c r="N36" s="10" t="str">
        <x:f>IF(AND('試用紀錄'!$X36=1,COUNT('試用紀錄'!$V36)=1),'試用紀錄'!$V36,"")</x:f>
      </x:c>
      <x:c r="O36" s="10" t="str">
        <x:f>IF(AND('試用紀錄'!$X36=1,COUNT('試用紀錄'!$W36)=1),'試用紀錄'!$W36,"")</x:f>
      </x:c>
    </x:row>
    <x:row r="37">
      <x:c r="A37" s="1" t="str">
        <x:v>L4-06</x:v>
      </x:c>
      <x:c r="B37" s="1" t="str">
        <x:v>L4</x:v>
      </x:c>
      <x:c r="C37" s="1"/>
      <x:c r="D37" s="10" t="str">
        <x:f>IF('試用紀錄'!$X37=1,'試用紀錄'!G37,"")</x:f>
      </x:c>
      <x:c r="E37" s="10" t="str">
        <x:f>IF('試用紀錄'!$X37=1,'試用紀錄'!H37,"")</x:f>
      </x:c>
      <x:c r="F37" s="10" t="str">
        <x:f>IF('試用紀錄'!$X37=1,'試用紀錄'!I37,"")</x:f>
      </x:c>
      <x:c r="G37" s="10" t="str">
        <x:f>IF('試用紀錄'!$X37=1,'試用紀錄'!J37,"")</x:f>
      </x:c>
      <x:c r="H37" s="10" t="str">
        <x:f>IF('試用紀錄'!$X37=1,'試用紀錄'!K37,"")</x:f>
      </x:c>
      <x:c r="I37" s="10" t="str">
        <x:f>IF('試用紀錄'!$X37=1,'試用紀錄'!L37,"")</x:f>
      </x:c>
      <x:c r="J37" s="10" t="str">
        <x:f>IF('試用紀錄'!$X37=1,'試用紀錄'!$M37,"")</x:f>
      </x:c>
      <x:c r="K37" s="10" t="str">
        <x:f>IF('試用紀錄'!$X37=1,IF('試用紀錄'!$Q37="是",1,IF('試用紀錄'!$Q37="否",0,"")),"")</x:f>
      </x:c>
      <x:c r="L37" s="10" t="str">
        <x:f>IF(AND('試用紀錄'!$X37=1,COUNT('試用紀錄'!$T37)=1),'試用紀錄'!$T37,"")</x:f>
      </x:c>
      <x:c r="M37" s="10" t="str">
        <x:f>IF(AND('試用紀錄'!$X37=1,COUNT('試用紀錄'!$U37)=1),'試用紀錄'!$U37,"")</x:f>
      </x:c>
      <x:c r="N37" s="10" t="str">
        <x:f>IF(AND('試用紀錄'!$X37=1,COUNT('試用紀錄'!$V37)=1),'試用紀錄'!$V37,"")</x:f>
      </x:c>
      <x:c r="O37" s="10" t="str">
        <x:f>IF(AND('試用紀錄'!$X37=1,COUNT('試用紀錄'!$W37)=1),'試用紀錄'!$W37,"")</x:f>
      </x:c>
    </x:row>
    <x:row r="38">
      <x:c r="A38" s="1" t="str">
        <x:v>L4-07</x:v>
      </x:c>
      <x:c r="B38" s="1" t="str">
        <x:v>L4</x:v>
      </x:c>
      <x:c r="C38" s="1"/>
      <x:c r="D38" s="10" t="str">
        <x:f>IF('試用紀錄'!$X38=1,'試用紀錄'!G38,"")</x:f>
      </x:c>
      <x:c r="E38" s="10" t="str">
        <x:f>IF('試用紀錄'!$X38=1,'試用紀錄'!H38,"")</x:f>
      </x:c>
      <x:c r="F38" s="10" t="str">
        <x:f>IF('試用紀錄'!$X38=1,'試用紀錄'!I38,"")</x:f>
      </x:c>
      <x:c r="G38" s="10" t="str">
        <x:f>IF('試用紀錄'!$X38=1,'試用紀錄'!J38,"")</x:f>
      </x:c>
      <x:c r="H38" s="10" t="str">
        <x:f>IF('試用紀錄'!$X38=1,'試用紀錄'!K38,"")</x:f>
      </x:c>
      <x:c r="I38" s="10" t="str">
        <x:f>IF('試用紀錄'!$X38=1,'試用紀錄'!L38,"")</x:f>
      </x:c>
      <x:c r="J38" s="10" t="str">
        <x:f>IF('試用紀錄'!$X38=1,'試用紀錄'!$M38,"")</x:f>
      </x:c>
      <x:c r="K38" s="10" t="str">
        <x:f>IF('試用紀錄'!$X38=1,IF('試用紀錄'!$Q38="是",1,IF('試用紀錄'!$Q38="否",0,"")),"")</x:f>
      </x:c>
      <x:c r="L38" s="10" t="str">
        <x:f>IF(AND('試用紀錄'!$X38=1,COUNT('試用紀錄'!$T38)=1),'試用紀錄'!$T38,"")</x:f>
      </x:c>
      <x:c r="M38" s="10" t="str">
        <x:f>IF(AND('試用紀錄'!$X38=1,COUNT('試用紀錄'!$U38)=1),'試用紀錄'!$U38,"")</x:f>
      </x:c>
      <x:c r="N38" s="10" t="str">
        <x:f>IF(AND('試用紀錄'!$X38=1,COUNT('試用紀錄'!$V38)=1),'試用紀錄'!$V38,"")</x:f>
      </x:c>
      <x:c r="O38" s="10" t="str">
        <x:f>IF(AND('試用紀錄'!$X38=1,COUNT('試用紀錄'!$W38)=1),'試用紀錄'!$W38,"")</x:f>
      </x:c>
    </x:row>
    <x:row r="39">
      <x:c r="A39" s="1" t="str">
        <x:v>L4-08</x:v>
      </x:c>
      <x:c r="B39" s="1" t="str">
        <x:v>L4</x:v>
      </x:c>
      <x:c r="C39" s="1"/>
      <x:c r="D39" s="10" t="str">
        <x:f>IF('試用紀錄'!$X39=1,'試用紀錄'!G39,"")</x:f>
      </x:c>
      <x:c r="E39" s="10" t="str">
        <x:f>IF('試用紀錄'!$X39=1,'試用紀錄'!H39,"")</x:f>
      </x:c>
      <x:c r="F39" s="10" t="str">
        <x:f>IF('試用紀錄'!$X39=1,'試用紀錄'!I39,"")</x:f>
      </x:c>
      <x:c r="G39" s="10" t="str">
        <x:f>IF('試用紀錄'!$X39=1,'試用紀錄'!J39,"")</x:f>
      </x:c>
      <x:c r="H39" s="10" t="str">
        <x:f>IF('試用紀錄'!$X39=1,'試用紀錄'!K39,"")</x:f>
      </x:c>
      <x:c r="I39" s="10" t="str">
        <x:f>IF('試用紀錄'!$X39=1,'試用紀錄'!L39,"")</x:f>
      </x:c>
      <x:c r="J39" s="10" t="str">
        <x:f>IF('試用紀錄'!$X39=1,'試用紀錄'!$M39,"")</x:f>
      </x:c>
      <x:c r="K39" s="10" t="str">
        <x:f>IF('試用紀錄'!$X39=1,IF('試用紀錄'!$Q39="是",1,IF('試用紀錄'!$Q39="否",0,"")),"")</x:f>
      </x:c>
      <x:c r="L39" s="10" t="str">
        <x:f>IF(AND('試用紀錄'!$X39=1,COUNT('試用紀錄'!$T39)=1),'試用紀錄'!$T39,"")</x:f>
      </x:c>
      <x:c r="M39" s="10" t="str">
        <x:f>IF(AND('試用紀錄'!$X39=1,COUNT('試用紀錄'!$U39)=1),'試用紀錄'!$U39,"")</x:f>
      </x:c>
      <x:c r="N39" s="10" t="str">
        <x:f>IF(AND('試用紀錄'!$X39=1,COUNT('試用紀錄'!$V39)=1),'試用紀錄'!$V39,"")</x:f>
      </x:c>
      <x:c r="O39" s="10" t="str">
        <x:f>IF(AND('試用紀錄'!$X39=1,COUNT('試用紀錄'!$W39)=1),'試用紀錄'!$W39,"")</x:f>
      </x:c>
    </x:row>
    <x:row r="40">
      <x:c r="A40" s="1" t="str">
        <x:v>L4-09</x:v>
      </x:c>
      <x:c r="B40" s="1" t="str">
        <x:v>L4</x:v>
      </x:c>
      <x:c r="C40" s="1"/>
      <x:c r="D40" s="10" t="str">
        <x:f>IF('試用紀錄'!$X40=1,'試用紀錄'!G40,"")</x:f>
      </x:c>
      <x:c r="E40" s="10" t="str">
        <x:f>IF('試用紀錄'!$X40=1,'試用紀錄'!H40,"")</x:f>
      </x:c>
      <x:c r="F40" s="10" t="str">
        <x:f>IF('試用紀錄'!$X40=1,'試用紀錄'!I40,"")</x:f>
      </x:c>
      <x:c r="G40" s="10" t="str">
        <x:f>IF('試用紀錄'!$X40=1,'試用紀錄'!J40,"")</x:f>
      </x:c>
      <x:c r="H40" s="10" t="str">
        <x:f>IF('試用紀錄'!$X40=1,'試用紀錄'!K40,"")</x:f>
      </x:c>
      <x:c r="I40" s="10" t="str">
        <x:f>IF('試用紀錄'!$X40=1,'試用紀錄'!L40,"")</x:f>
      </x:c>
      <x:c r="J40" s="10" t="str">
        <x:f>IF('試用紀錄'!$X40=1,'試用紀錄'!$M40,"")</x:f>
      </x:c>
      <x:c r="K40" s="10" t="str">
        <x:f>IF('試用紀錄'!$X40=1,IF('試用紀錄'!$Q40="是",1,IF('試用紀錄'!$Q40="否",0,"")),"")</x:f>
      </x:c>
      <x:c r="L40" s="10" t="str">
        <x:f>IF(AND('試用紀錄'!$X40=1,COUNT('試用紀錄'!$T40)=1),'試用紀錄'!$T40,"")</x:f>
      </x:c>
      <x:c r="M40" s="10" t="str">
        <x:f>IF(AND('試用紀錄'!$X40=1,COUNT('試用紀錄'!$U40)=1),'試用紀錄'!$U40,"")</x:f>
      </x:c>
      <x:c r="N40" s="10" t="str">
        <x:f>IF(AND('試用紀錄'!$X40=1,COUNT('試用紀錄'!$V40)=1),'試用紀錄'!$V40,"")</x:f>
      </x:c>
      <x:c r="O40" s="10" t="str">
        <x:f>IF(AND('試用紀錄'!$X40=1,COUNT('試用紀錄'!$W40)=1),'試用紀錄'!$W40,"")</x:f>
      </x:c>
    </x:row>
    <x:row r="41">
      <x:c r="A41" s="1" t="str">
        <x:v>L4-10</x:v>
      </x:c>
      <x:c r="B41" s="1" t="str">
        <x:v>L4</x:v>
      </x:c>
      <x:c r="C41" s="1"/>
      <x:c r="D41" s="10" t="str">
        <x:f>IF('試用紀錄'!$X41=1,'試用紀錄'!G41,"")</x:f>
      </x:c>
      <x:c r="E41" s="10" t="str">
        <x:f>IF('試用紀錄'!$X41=1,'試用紀錄'!H41,"")</x:f>
      </x:c>
      <x:c r="F41" s="10" t="str">
        <x:f>IF('試用紀錄'!$X41=1,'試用紀錄'!I41,"")</x:f>
      </x:c>
      <x:c r="G41" s="10" t="str">
        <x:f>IF('試用紀錄'!$X41=1,'試用紀錄'!J41,"")</x:f>
      </x:c>
      <x:c r="H41" s="10" t="str">
        <x:f>IF('試用紀錄'!$X41=1,'試用紀錄'!K41,"")</x:f>
      </x:c>
      <x:c r="I41" s="10" t="str">
        <x:f>IF('試用紀錄'!$X41=1,'試用紀錄'!L41,"")</x:f>
      </x:c>
      <x:c r="J41" s="10" t="str">
        <x:f>IF('試用紀錄'!$X41=1,'試用紀錄'!$M41,"")</x:f>
      </x:c>
      <x:c r="K41" s="10" t="str">
        <x:f>IF('試用紀錄'!$X41=1,IF('試用紀錄'!$Q41="是",1,IF('試用紀錄'!$Q41="否",0,"")),"")</x:f>
      </x:c>
      <x:c r="L41" s="10" t="str">
        <x:f>IF(AND('試用紀錄'!$X41=1,COUNT('試用紀錄'!$T41)=1),'試用紀錄'!$T41,"")</x:f>
      </x:c>
      <x:c r="M41" s="10" t="str">
        <x:f>IF(AND('試用紀錄'!$X41=1,COUNT('試用紀錄'!$U41)=1),'試用紀錄'!$U41,"")</x:f>
      </x:c>
      <x:c r="N41" s="10" t="str">
        <x:f>IF(AND('試用紀錄'!$X41=1,COUNT('試用紀錄'!$V41)=1),'試用紀錄'!$V41,"")</x:f>
      </x:c>
      <x:c r="O41" s="10" t="str">
        <x:f>IF(AND('試用紀錄'!$X41=1,COUNT('試用紀錄'!$W41)=1),'試用紀錄'!$W41,"")</x:f>
      </x:c>
    </x:row>
    <x:row r="42">
      <x:c r="A42" s="1" t="str">
        <x:v>L5-01</x:v>
      </x:c>
      <x:c r="B42" s="1" t="str">
        <x:v>L5</x:v>
      </x:c>
      <x:c r="C42" s="1"/>
      <x:c r="D42" s="10" t="str">
        <x:f>IF('試用紀錄'!$X42=1,'試用紀錄'!G42,"")</x:f>
      </x:c>
      <x:c r="E42" s="10" t="str">
        <x:f>IF('試用紀錄'!$X42=1,'試用紀錄'!H42,"")</x:f>
      </x:c>
      <x:c r="F42" s="10" t="str">
        <x:f>IF('試用紀錄'!$X42=1,'試用紀錄'!I42,"")</x:f>
      </x:c>
      <x:c r="G42" s="10" t="str">
        <x:f>IF('試用紀錄'!$X42=1,'試用紀錄'!J42,"")</x:f>
      </x:c>
      <x:c r="H42" s="10" t="str">
        <x:f>IF('試用紀錄'!$X42=1,'試用紀錄'!K42,"")</x:f>
      </x:c>
      <x:c r="I42" s="10" t="str">
        <x:f>IF('試用紀錄'!$X42=1,'試用紀錄'!L42,"")</x:f>
      </x:c>
      <x:c r="J42" s="10" t="str">
        <x:f>IF('試用紀錄'!$X42=1,'試用紀錄'!$M42,"")</x:f>
      </x:c>
      <x:c r="K42" s="10" t="str">
        <x:f>IF('試用紀錄'!$X42=1,IF('試用紀錄'!$Q42="是",1,IF('試用紀錄'!$Q42="否",0,"")),"")</x:f>
      </x:c>
      <x:c r="L42" s="10" t="str">
        <x:f>IF(AND('試用紀錄'!$X42=1,COUNT('試用紀錄'!$T42)=1),'試用紀錄'!$T42,"")</x:f>
      </x:c>
      <x:c r="M42" s="10" t="str">
        <x:f>IF(AND('試用紀錄'!$X42=1,COUNT('試用紀錄'!$U42)=1),'試用紀錄'!$U42,"")</x:f>
      </x:c>
      <x:c r="N42" s="10" t="str">
        <x:f>IF(AND('試用紀錄'!$X42=1,COUNT('試用紀錄'!$V42)=1),'試用紀錄'!$V42,"")</x:f>
      </x:c>
      <x:c r="O42" s="10" t="str">
        <x:f>IF(AND('試用紀錄'!$X42=1,COUNT('試用紀錄'!$W42)=1),'試用紀錄'!$W42,"")</x:f>
      </x:c>
    </x:row>
    <x:row r="43">
      <x:c r="A43" s="1" t="str">
        <x:v>L5-02</x:v>
      </x:c>
      <x:c r="B43" s="1" t="str">
        <x:v>L5</x:v>
      </x:c>
      <x:c r="C43" s="1"/>
      <x:c r="D43" s="10" t="str">
        <x:f>IF('試用紀錄'!$X43=1,'試用紀錄'!G43,"")</x:f>
      </x:c>
      <x:c r="E43" s="10" t="str">
        <x:f>IF('試用紀錄'!$X43=1,'試用紀錄'!H43,"")</x:f>
      </x:c>
      <x:c r="F43" s="10" t="str">
        <x:f>IF('試用紀錄'!$X43=1,'試用紀錄'!I43,"")</x:f>
      </x:c>
      <x:c r="G43" s="10" t="str">
        <x:f>IF('試用紀錄'!$X43=1,'試用紀錄'!J43,"")</x:f>
      </x:c>
      <x:c r="H43" s="10" t="str">
        <x:f>IF('試用紀錄'!$X43=1,'試用紀錄'!K43,"")</x:f>
      </x:c>
      <x:c r="I43" s="10" t="str">
        <x:f>IF('試用紀錄'!$X43=1,'試用紀錄'!L43,"")</x:f>
      </x:c>
      <x:c r="J43" s="10" t="str">
        <x:f>IF('試用紀錄'!$X43=1,'試用紀錄'!$M43,"")</x:f>
      </x:c>
      <x:c r="K43" s="10" t="str">
        <x:f>IF('試用紀錄'!$X43=1,IF('試用紀錄'!$Q43="是",1,IF('試用紀錄'!$Q43="否",0,"")),"")</x:f>
      </x:c>
      <x:c r="L43" s="10" t="str">
        <x:f>IF(AND('試用紀錄'!$X43=1,COUNT('試用紀錄'!$T43)=1),'試用紀錄'!$T43,"")</x:f>
      </x:c>
      <x:c r="M43" s="10" t="str">
        <x:f>IF(AND('試用紀錄'!$X43=1,COUNT('試用紀錄'!$U43)=1),'試用紀錄'!$U43,"")</x:f>
      </x:c>
      <x:c r="N43" s="10" t="str">
        <x:f>IF(AND('試用紀錄'!$X43=1,COUNT('試用紀錄'!$V43)=1),'試用紀錄'!$V43,"")</x:f>
      </x:c>
      <x:c r="O43" s="10" t="str">
        <x:f>IF(AND('試用紀錄'!$X43=1,COUNT('試用紀錄'!$W43)=1),'試用紀錄'!$W43,"")</x:f>
      </x:c>
    </x:row>
    <x:row r="44">
      <x:c r="A44" s="1" t="str">
        <x:v>L5-03</x:v>
      </x:c>
      <x:c r="B44" s="1" t="str">
        <x:v>L5</x:v>
      </x:c>
      <x:c r="C44" s="1"/>
      <x:c r="D44" s="10" t="str">
        <x:f>IF('試用紀錄'!$X44=1,'試用紀錄'!G44,"")</x:f>
      </x:c>
      <x:c r="E44" s="10" t="str">
        <x:f>IF('試用紀錄'!$X44=1,'試用紀錄'!H44,"")</x:f>
      </x:c>
      <x:c r="F44" s="10" t="str">
        <x:f>IF('試用紀錄'!$X44=1,'試用紀錄'!I44,"")</x:f>
      </x:c>
      <x:c r="G44" s="10" t="str">
        <x:f>IF('試用紀錄'!$X44=1,'試用紀錄'!J44,"")</x:f>
      </x:c>
      <x:c r="H44" s="10" t="str">
        <x:f>IF('試用紀錄'!$X44=1,'試用紀錄'!K44,"")</x:f>
      </x:c>
      <x:c r="I44" s="10" t="str">
        <x:f>IF('試用紀錄'!$X44=1,'試用紀錄'!L44,"")</x:f>
      </x:c>
      <x:c r="J44" s="10" t="str">
        <x:f>IF('試用紀錄'!$X44=1,'試用紀錄'!$M44,"")</x:f>
      </x:c>
      <x:c r="K44" s="10" t="str">
        <x:f>IF('試用紀錄'!$X44=1,IF('試用紀錄'!$Q44="是",1,IF('試用紀錄'!$Q44="否",0,"")),"")</x:f>
      </x:c>
      <x:c r="L44" s="10" t="str">
        <x:f>IF(AND('試用紀錄'!$X44=1,COUNT('試用紀錄'!$T44)=1),'試用紀錄'!$T44,"")</x:f>
      </x:c>
      <x:c r="M44" s="10" t="str">
        <x:f>IF(AND('試用紀錄'!$X44=1,COUNT('試用紀錄'!$U44)=1),'試用紀錄'!$U44,"")</x:f>
      </x:c>
      <x:c r="N44" s="10" t="str">
        <x:f>IF(AND('試用紀錄'!$X44=1,COUNT('試用紀錄'!$V44)=1),'試用紀錄'!$V44,"")</x:f>
      </x:c>
      <x:c r="O44" s="10" t="str">
        <x:f>IF(AND('試用紀錄'!$X44=1,COUNT('試用紀錄'!$W44)=1),'試用紀錄'!$W44,"")</x:f>
      </x:c>
    </x:row>
    <x:row r="45">
      <x:c r="A45" s="1" t="str">
        <x:v>L5-04</x:v>
      </x:c>
      <x:c r="B45" s="1" t="str">
        <x:v>L5</x:v>
      </x:c>
      <x:c r="C45" s="1"/>
      <x:c r="D45" s="10" t="str">
        <x:f>IF('試用紀錄'!$X45=1,'試用紀錄'!G45,"")</x:f>
      </x:c>
      <x:c r="E45" s="10" t="str">
        <x:f>IF('試用紀錄'!$X45=1,'試用紀錄'!H45,"")</x:f>
      </x:c>
      <x:c r="F45" s="10" t="str">
        <x:f>IF('試用紀錄'!$X45=1,'試用紀錄'!I45,"")</x:f>
      </x:c>
      <x:c r="G45" s="10" t="str">
        <x:f>IF('試用紀錄'!$X45=1,'試用紀錄'!J45,"")</x:f>
      </x:c>
      <x:c r="H45" s="10" t="str">
        <x:f>IF('試用紀錄'!$X45=1,'試用紀錄'!K45,"")</x:f>
      </x:c>
      <x:c r="I45" s="10" t="str">
        <x:f>IF('試用紀錄'!$X45=1,'試用紀錄'!L45,"")</x:f>
      </x:c>
      <x:c r="J45" s="10" t="str">
        <x:f>IF('試用紀錄'!$X45=1,'試用紀錄'!$M45,"")</x:f>
      </x:c>
      <x:c r="K45" s="10" t="str">
        <x:f>IF('試用紀錄'!$X45=1,IF('試用紀錄'!$Q45="是",1,IF('試用紀錄'!$Q45="否",0,"")),"")</x:f>
      </x:c>
      <x:c r="L45" s="10" t="str">
        <x:f>IF(AND('試用紀錄'!$X45=1,COUNT('試用紀錄'!$T45)=1),'試用紀錄'!$T45,"")</x:f>
      </x:c>
      <x:c r="M45" s="10" t="str">
        <x:f>IF(AND('試用紀錄'!$X45=1,COUNT('試用紀錄'!$U45)=1),'試用紀錄'!$U45,"")</x:f>
      </x:c>
      <x:c r="N45" s="10" t="str">
        <x:f>IF(AND('試用紀錄'!$X45=1,COUNT('試用紀錄'!$V45)=1),'試用紀錄'!$V45,"")</x:f>
      </x:c>
      <x:c r="O45" s="10" t="str">
        <x:f>IF(AND('試用紀錄'!$X45=1,COUNT('試用紀錄'!$W45)=1),'試用紀錄'!$W45,"")</x:f>
      </x:c>
    </x:row>
    <x:row r="46">
      <x:c r="A46" s="1" t="str">
        <x:v>L5-05</x:v>
      </x:c>
      <x:c r="B46" s="1" t="str">
        <x:v>L5</x:v>
      </x:c>
      <x:c r="C46" s="1"/>
      <x:c r="D46" s="10" t="str">
        <x:f>IF('試用紀錄'!$X46=1,'試用紀錄'!G46,"")</x:f>
      </x:c>
      <x:c r="E46" s="10" t="str">
        <x:f>IF('試用紀錄'!$X46=1,'試用紀錄'!H46,"")</x:f>
      </x:c>
      <x:c r="F46" s="10" t="str">
        <x:f>IF('試用紀錄'!$X46=1,'試用紀錄'!I46,"")</x:f>
      </x:c>
      <x:c r="G46" s="10" t="str">
        <x:f>IF('試用紀錄'!$X46=1,'試用紀錄'!J46,"")</x:f>
      </x:c>
      <x:c r="H46" s="10" t="str">
        <x:f>IF('試用紀錄'!$X46=1,'試用紀錄'!K46,"")</x:f>
      </x:c>
      <x:c r="I46" s="10" t="str">
        <x:f>IF('試用紀錄'!$X46=1,'試用紀錄'!L46,"")</x:f>
      </x:c>
      <x:c r="J46" s="10" t="str">
        <x:f>IF('試用紀錄'!$X46=1,'試用紀錄'!$M46,"")</x:f>
      </x:c>
      <x:c r="K46" s="10" t="str">
        <x:f>IF('試用紀錄'!$X46=1,IF('試用紀錄'!$Q46="是",1,IF('試用紀錄'!$Q46="否",0,"")),"")</x:f>
      </x:c>
      <x:c r="L46" s="10" t="str">
        <x:f>IF(AND('試用紀錄'!$X46=1,COUNT('試用紀錄'!$T46)=1),'試用紀錄'!$T46,"")</x:f>
      </x:c>
      <x:c r="M46" s="10" t="str">
        <x:f>IF(AND('試用紀錄'!$X46=1,COUNT('試用紀錄'!$U46)=1),'試用紀錄'!$U46,"")</x:f>
      </x:c>
      <x:c r="N46" s="10" t="str">
        <x:f>IF(AND('試用紀錄'!$X46=1,COUNT('試用紀錄'!$V46)=1),'試用紀錄'!$V46,"")</x:f>
      </x:c>
      <x:c r="O46" s="10" t="str">
        <x:f>IF(AND('試用紀錄'!$X46=1,COUNT('試用紀錄'!$W46)=1),'試用紀錄'!$W46,"")</x:f>
      </x:c>
    </x:row>
    <x:row r="47">
      <x:c r="A47" s="1" t="str">
        <x:v>L5-06</x:v>
      </x:c>
      <x:c r="B47" s="1" t="str">
        <x:v>L5</x:v>
      </x:c>
      <x:c r="C47" s="1"/>
      <x:c r="D47" s="10" t="str">
        <x:f>IF('試用紀錄'!$X47=1,'試用紀錄'!G47,"")</x:f>
      </x:c>
      <x:c r="E47" s="10" t="str">
        <x:f>IF('試用紀錄'!$X47=1,'試用紀錄'!H47,"")</x:f>
      </x:c>
      <x:c r="F47" s="10" t="str">
        <x:f>IF('試用紀錄'!$X47=1,'試用紀錄'!I47,"")</x:f>
      </x:c>
      <x:c r="G47" s="10" t="str">
        <x:f>IF('試用紀錄'!$X47=1,'試用紀錄'!J47,"")</x:f>
      </x:c>
      <x:c r="H47" s="10" t="str">
        <x:f>IF('試用紀錄'!$X47=1,'試用紀錄'!K47,"")</x:f>
      </x:c>
      <x:c r="I47" s="10" t="str">
        <x:f>IF('試用紀錄'!$X47=1,'試用紀錄'!L47,"")</x:f>
      </x:c>
      <x:c r="J47" s="10" t="str">
        <x:f>IF('試用紀錄'!$X47=1,'試用紀錄'!$M47,"")</x:f>
      </x:c>
      <x:c r="K47" s="10" t="str">
        <x:f>IF('試用紀錄'!$X47=1,IF('試用紀錄'!$Q47="是",1,IF('試用紀錄'!$Q47="否",0,"")),"")</x:f>
      </x:c>
      <x:c r="L47" s="10" t="str">
        <x:f>IF(AND('試用紀錄'!$X47=1,COUNT('試用紀錄'!$T47)=1),'試用紀錄'!$T47,"")</x:f>
      </x:c>
      <x:c r="M47" s="10" t="str">
        <x:f>IF(AND('試用紀錄'!$X47=1,COUNT('試用紀錄'!$U47)=1),'試用紀錄'!$U47,"")</x:f>
      </x:c>
      <x:c r="N47" s="10" t="str">
        <x:f>IF(AND('試用紀錄'!$X47=1,COUNT('試用紀錄'!$V47)=1),'試用紀錄'!$V47,"")</x:f>
      </x:c>
      <x:c r="O47" s="10" t="str">
        <x:f>IF(AND('試用紀錄'!$X47=1,COUNT('試用紀錄'!$W47)=1),'試用紀錄'!$W47,"")</x:f>
      </x:c>
    </x:row>
    <x:row r="48">
      <x:c r="A48" s="1" t="str">
        <x:v>L5-07</x:v>
      </x:c>
      <x:c r="B48" s="1" t="str">
        <x:v>L5</x:v>
      </x:c>
      <x:c r="C48" s="1"/>
      <x:c r="D48" s="10" t="str">
        <x:f>IF('試用紀錄'!$X48=1,'試用紀錄'!G48,"")</x:f>
      </x:c>
      <x:c r="E48" s="10" t="str">
        <x:f>IF('試用紀錄'!$X48=1,'試用紀錄'!H48,"")</x:f>
      </x:c>
      <x:c r="F48" s="10" t="str">
        <x:f>IF('試用紀錄'!$X48=1,'試用紀錄'!I48,"")</x:f>
      </x:c>
      <x:c r="G48" s="10" t="str">
        <x:f>IF('試用紀錄'!$X48=1,'試用紀錄'!J48,"")</x:f>
      </x:c>
      <x:c r="H48" s="10" t="str">
        <x:f>IF('試用紀錄'!$X48=1,'試用紀錄'!K48,"")</x:f>
      </x:c>
      <x:c r="I48" s="10" t="str">
        <x:f>IF('試用紀錄'!$X48=1,'試用紀錄'!L48,"")</x:f>
      </x:c>
      <x:c r="J48" s="10" t="str">
        <x:f>IF('試用紀錄'!$X48=1,'試用紀錄'!$M48,"")</x:f>
      </x:c>
      <x:c r="K48" s="10" t="str">
        <x:f>IF('試用紀錄'!$X48=1,IF('試用紀錄'!$Q48="是",1,IF('試用紀錄'!$Q48="否",0,"")),"")</x:f>
      </x:c>
      <x:c r="L48" s="10" t="str">
        <x:f>IF(AND('試用紀錄'!$X48=1,COUNT('試用紀錄'!$T48)=1),'試用紀錄'!$T48,"")</x:f>
      </x:c>
      <x:c r="M48" s="10" t="str">
        <x:f>IF(AND('試用紀錄'!$X48=1,COUNT('試用紀錄'!$U48)=1),'試用紀錄'!$U48,"")</x:f>
      </x:c>
      <x:c r="N48" s="10" t="str">
        <x:f>IF(AND('試用紀錄'!$X48=1,COUNT('試用紀錄'!$V48)=1),'試用紀錄'!$V48,"")</x:f>
      </x:c>
      <x:c r="O48" s="10" t="str">
        <x:f>IF(AND('試用紀錄'!$X48=1,COUNT('試用紀錄'!$W48)=1),'試用紀錄'!$W48,"")</x:f>
      </x:c>
    </x:row>
    <x:row r="49">
      <x:c r="A49" s="1" t="str">
        <x:v>L5-08</x:v>
      </x:c>
      <x:c r="B49" s="1" t="str">
        <x:v>L5</x:v>
      </x:c>
      <x:c r="C49" s="1"/>
      <x:c r="D49" s="10" t="str">
        <x:f>IF('試用紀錄'!$X49=1,'試用紀錄'!G49,"")</x:f>
      </x:c>
      <x:c r="E49" s="10" t="str">
        <x:f>IF('試用紀錄'!$X49=1,'試用紀錄'!H49,"")</x:f>
      </x:c>
      <x:c r="F49" s="10" t="str">
        <x:f>IF('試用紀錄'!$X49=1,'試用紀錄'!I49,"")</x:f>
      </x:c>
      <x:c r="G49" s="10" t="str">
        <x:f>IF('試用紀錄'!$X49=1,'試用紀錄'!J49,"")</x:f>
      </x:c>
      <x:c r="H49" s="10" t="str">
        <x:f>IF('試用紀錄'!$X49=1,'試用紀錄'!K49,"")</x:f>
      </x:c>
      <x:c r="I49" s="10" t="str">
        <x:f>IF('試用紀錄'!$X49=1,'試用紀錄'!L49,"")</x:f>
      </x:c>
      <x:c r="J49" s="10" t="str">
        <x:f>IF('試用紀錄'!$X49=1,'試用紀錄'!$M49,"")</x:f>
      </x:c>
      <x:c r="K49" s="10" t="str">
        <x:f>IF('試用紀錄'!$X49=1,IF('試用紀錄'!$Q49="是",1,IF('試用紀錄'!$Q49="否",0,"")),"")</x:f>
      </x:c>
      <x:c r="L49" s="10" t="str">
        <x:f>IF(AND('試用紀錄'!$X49=1,COUNT('試用紀錄'!$T49)=1),'試用紀錄'!$T49,"")</x:f>
      </x:c>
      <x:c r="M49" s="10" t="str">
        <x:f>IF(AND('試用紀錄'!$X49=1,COUNT('試用紀錄'!$U49)=1),'試用紀錄'!$U49,"")</x:f>
      </x:c>
      <x:c r="N49" s="10" t="str">
        <x:f>IF(AND('試用紀錄'!$X49=1,COUNT('試用紀錄'!$V49)=1),'試用紀錄'!$V49,"")</x:f>
      </x:c>
      <x:c r="O49" s="10" t="str">
        <x:f>IF(AND('試用紀錄'!$X49=1,COUNT('試用紀錄'!$W49)=1),'試用紀錄'!$W49,"")</x:f>
      </x:c>
    </x:row>
    <x:row r="50">
      <x:c r="A50" s="1" t="str">
        <x:v>L5-09</x:v>
      </x:c>
      <x:c r="B50" s="1" t="str">
        <x:v>L5</x:v>
      </x:c>
      <x:c r="C50" s="1"/>
      <x:c r="D50" s="10" t="str">
        <x:f>IF('試用紀錄'!$X50=1,'試用紀錄'!G50,"")</x:f>
      </x:c>
      <x:c r="E50" s="10" t="str">
        <x:f>IF('試用紀錄'!$X50=1,'試用紀錄'!H50,"")</x:f>
      </x:c>
      <x:c r="F50" s="10" t="str">
        <x:f>IF('試用紀錄'!$X50=1,'試用紀錄'!I50,"")</x:f>
      </x:c>
      <x:c r="G50" s="10" t="str">
        <x:f>IF('試用紀錄'!$X50=1,'試用紀錄'!J50,"")</x:f>
      </x:c>
      <x:c r="H50" s="10" t="str">
        <x:f>IF('試用紀錄'!$X50=1,'試用紀錄'!K50,"")</x:f>
      </x:c>
      <x:c r="I50" s="10" t="str">
        <x:f>IF('試用紀錄'!$X50=1,'試用紀錄'!L50,"")</x:f>
      </x:c>
      <x:c r="J50" s="10" t="str">
        <x:f>IF('試用紀錄'!$X50=1,'試用紀錄'!$M50,"")</x:f>
      </x:c>
      <x:c r="K50" s="10" t="str">
        <x:f>IF('試用紀錄'!$X50=1,IF('試用紀錄'!$Q50="是",1,IF('試用紀錄'!$Q50="否",0,"")),"")</x:f>
      </x:c>
      <x:c r="L50" s="10" t="str">
        <x:f>IF(AND('試用紀錄'!$X50=1,COUNT('試用紀錄'!$T50)=1),'試用紀錄'!$T50,"")</x:f>
      </x:c>
      <x:c r="M50" s="10" t="str">
        <x:f>IF(AND('試用紀錄'!$X50=1,COUNT('試用紀錄'!$U50)=1),'試用紀錄'!$U50,"")</x:f>
      </x:c>
      <x:c r="N50" s="10" t="str">
        <x:f>IF(AND('試用紀錄'!$X50=1,COUNT('試用紀錄'!$V50)=1),'試用紀錄'!$V50,"")</x:f>
      </x:c>
      <x:c r="O50" s="10" t="str">
        <x:f>IF(AND('試用紀錄'!$X50=1,COUNT('試用紀錄'!$W50)=1),'試用紀錄'!$W50,"")</x:f>
      </x:c>
    </x:row>
    <x:row r="51">
      <x:c r="A51" s="1" t="str">
        <x:v>L5-10</x:v>
      </x:c>
      <x:c r="B51" s="1" t="str">
        <x:v>L5</x:v>
      </x:c>
      <x:c r="C51" s="1"/>
      <x:c r="D51" s="10" t="str">
        <x:f>IF('試用紀錄'!$X51=1,'試用紀錄'!G51,"")</x:f>
      </x:c>
      <x:c r="E51" s="10" t="str">
        <x:f>IF('試用紀錄'!$X51=1,'試用紀錄'!H51,"")</x:f>
      </x:c>
      <x:c r="F51" s="10" t="str">
        <x:f>IF('試用紀錄'!$X51=1,'試用紀錄'!I51,"")</x:f>
      </x:c>
      <x:c r="G51" s="10" t="str">
        <x:f>IF('試用紀錄'!$X51=1,'試用紀錄'!J51,"")</x:f>
      </x:c>
      <x:c r="H51" s="10" t="str">
        <x:f>IF('試用紀錄'!$X51=1,'試用紀錄'!K51,"")</x:f>
      </x:c>
      <x:c r="I51" s="10" t="str">
        <x:f>IF('試用紀錄'!$X51=1,'試用紀錄'!L51,"")</x:f>
      </x:c>
      <x:c r="J51" s="10" t="str">
        <x:f>IF('試用紀錄'!$X51=1,'試用紀錄'!$M51,"")</x:f>
      </x:c>
      <x:c r="K51" s="10" t="str">
        <x:f>IF('試用紀錄'!$X51=1,IF('試用紀錄'!$Q51="是",1,IF('試用紀錄'!$Q51="否",0,"")),"")</x:f>
      </x:c>
      <x:c r="L51" s="10" t="str">
        <x:f>IF(AND('試用紀錄'!$X51=1,COUNT('試用紀錄'!$T51)=1),'試用紀錄'!$T51,"")</x:f>
      </x:c>
      <x:c r="M51" s="10" t="str">
        <x:f>IF(AND('試用紀錄'!$X51=1,COUNT('試用紀錄'!$U51)=1),'試用紀錄'!$U51,"")</x:f>
      </x:c>
      <x:c r="N51" s="10" t="str">
        <x:f>IF(AND('試用紀錄'!$X51=1,COUNT('試用紀錄'!$V51)=1),'試用紀錄'!$V51,"")</x:f>
      </x:c>
      <x:c r="O51" s="10" t="str">
        <x:f>IF(AND('試用紀錄'!$X51=1,COUNT('試用紀錄'!$W51)=1),'試用紀錄'!$W51,"")</x:f>
      </x:c>
    </x:row>
  </x:sheetData>
  <x:pageMargins left="0.7" right="0.7" top="0.75" bottom="0.75" header="0.3" footer="0.3"/>
  <x:tableParts count="1">
    <x:tablePart xmlns:r="http://schemas.openxmlformats.org/officeDocument/2006/relationships" r:id="R552cc9603bbc45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6" hidden="0" customWidth="1"/>
    <x:col min="4" max="4" width="19" hidden="0" customWidth="1"/>
    <x:col min="5" max="5" width="13" hidden="0" customWidth="1"/>
    <x:col min="6" max="6" width="18" hidden="0" customWidth="1"/>
    <x:col min="7" max="7" width="20" hidden="0" customWidth="1"/>
    <x:col min="8" max="8" width="17" hidden="0" customWidth="1"/>
    <x:col min="9" max="9" width="18" hidden="0" customWidth="1"/>
    <x:col min="10" max="10" width="17" hidden="0" customWidth="1"/>
    <x:col min="11" max="11" width="20" hidden="0" customWidth="1"/>
  </x:cols>
  <x:sheetData>
    <x:row r="1">
      <x:c r="A1" s="12" t="str">
        <x:v>30 分鐘核心課試用摘要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只納入每級至少 5 位不同匿名學習者的首筆完整試用；課型或句數差異大時，請另分層判讀。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42" customHeight="1">
      <x:c r="A4" s="5" t="str">
        <x:v>程度</x:v>
      </x:c>
      <x:c r="B4" s="5" t="str">
        <x:v>目標不同學習者數</x:v>
      </x:c>
      <x:c r="C4" s="5" t="str">
        <x:v>完整有效試次</x:v>
      </x:c>
      <x:c r="D4" s="5" t="str">
        <x:v>不同學習者數</x:v>
      </x:c>
      <x:c r="E4" s="5" t="str">
        <x:v>尚缺人數</x:v>
      </x:c>
      <x:c r="F4" s="5" t="str">
        <x:v>狀態</x:v>
      </x:c>
      <x:c r="G4" s="5" t="str">
        <x:v>有效總分鐘中位數</x:v>
      </x:c>
      <x:c r="H4" s="5" t="str">
        <x:v>有效總分鐘 P75</x:v>
      </x:c>
      <x:c r="I4" s="5" t="str">
        <x:v>重聽次數中位數</x:v>
      </x:c>
      <x:c r="J4" s="5" t="str">
        <x:v>查詞次數中位數</x:v>
      </x:c>
      <x:c r="K4" s="5" t="str">
        <x:v>有跳過階段人數</x:v>
      </x:c>
    </x:row>
    <x:row r="5">
      <x:c r="A5" s="1" t="str">
        <x:v>L1</x:v>
      </x:c>
      <x:c r="B5" s="1" t="n">
        <x:v>5</x:v>
      </x:c>
      <x:c r="C5" s="1" t="n">
        <x:f>COUNT('試用紀錄'!$M$2:$M$11)</x:f>
        <x:v>0</x:v>
      </x:c>
      <x:c r="D5" s="1" t="n">
        <x:f>SUM('試用紀錄'!$X$2:$X$11)</x:f>
        <x:v>0</x:v>
      </x:c>
      <x:c r="E5" s="1" t="n">
        <x:f>MAX(0,B5-D5)</x:f>
        <x:v>5</x:v>
      </x:c>
      <x:c r="F5" s="1" t="str">
        <x:f>IF(D5&gt;=B5,"可初步描述","樣本不足")</x:f>
        <x:v>樣本不足</x:v>
      </x:c>
      <x:c r="G5" s="15" t="str">
        <x:f>IF(D5&lt;B5,"",MEDIAN('有效樣本'!$J$2:$J$11))</x:f>
      </x:c>
      <x:c r="H5" s="15" t="str">
        <x:f>IF(D5&lt;B5,"",PERCENTILE.INC('有效樣本'!$J$2:$J$11,0.75))</x:f>
      </x:c>
      <x:c r="I5" s="15" t="str">
        <x:f>IF(OR(D5&lt;B5,COUNT('有效樣本'!$L$2:$L$11)&lt;&gt;D5),"",MEDIAN('有效樣本'!$L$2:$L$11))</x:f>
      </x:c>
      <x:c r="J5" s="15" t="str">
        <x:f>IF(OR(D5&lt;B5,COUNT('有效樣本'!$M$2:$M$11)&lt;&gt;D5),"",MEDIAN('有效樣本'!$M$2:$M$11))</x:f>
      </x:c>
      <x:c r="K5" s="1" t="str">
        <x:f>IF(OR(D5&lt;B5,COUNT('有效樣本'!$K$2:$K$11)&lt;&gt;D5),"",SUM('有效樣本'!$K$2:$K$11))</x:f>
      </x:c>
    </x:row>
    <x:row r="6">
      <x:c r="A6" s="1" t="str">
        <x:v>L2</x:v>
      </x:c>
      <x:c r="B6" s="1" t="n">
        <x:v>5</x:v>
      </x:c>
      <x:c r="C6" s="1" t="n">
        <x:f>COUNT('試用紀錄'!$M$12:$M$21)</x:f>
        <x:v>0</x:v>
      </x:c>
      <x:c r="D6" s="1" t="n">
        <x:f>SUM('試用紀錄'!$X$12:$X$21)</x:f>
        <x:v>0</x:v>
      </x:c>
      <x:c r="E6" s="1" t="n">
        <x:f>MAX(0,B6-D6)</x:f>
        <x:v>5</x:v>
      </x:c>
      <x:c r="F6" s="1" t="str">
        <x:f>IF(D6&gt;=B6,"可初步描述","樣本不足")</x:f>
        <x:v>樣本不足</x:v>
      </x:c>
      <x:c r="G6" s="15" t="str">
        <x:f>IF(D6&lt;B6,"",MEDIAN('有效樣本'!$J$12:$J$21))</x:f>
      </x:c>
      <x:c r="H6" s="15" t="str">
        <x:f>IF(D6&lt;B6,"",PERCENTILE.INC('有效樣本'!$J$12:$J$21,0.75))</x:f>
      </x:c>
      <x:c r="I6" s="15" t="str">
        <x:f>IF(OR(D6&lt;B6,COUNT('有效樣本'!$L$12:$L$21)&lt;&gt;D6),"",MEDIAN('有效樣本'!$L$12:$L$21))</x:f>
      </x:c>
      <x:c r="J6" s="15" t="str">
        <x:f>IF(OR(D6&lt;B6,COUNT('有效樣本'!$M$12:$M$21)&lt;&gt;D6),"",MEDIAN('有效樣本'!$M$12:$M$21))</x:f>
      </x:c>
      <x:c r="K6" s="1" t="str">
        <x:f>IF(OR(D6&lt;B6,COUNT('有效樣本'!$K$12:$K$21)&lt;&gt;D6),"",SUM('有效樣本'!$K$12:$K$21))</x:f>
      </x:c>
    </x:row>
    <x:row r="7">
      <x:c r="A7" s="1" t="str">
        <x:v>L3</x:v>
      </x:c>
      <x:c r="B7" s="1" t="n">
        <x:v>5</x:v>
      </x:c>
      <x:c r="C7" s="1" t="n">
        <x:f>COUNT('試用紀錄'!$M$22:$M$31)</x:f>
        <x:v>0</x:v>
      </x:c>
      <x:c r="D7" s="1" t="n">
        <x:f>SUM('試用紀錄'!$X$22:$X$31)</x:f>
        <x:v>0</x:v>
      </x:c>
      <x:c r="E7" s="1" t="n">
        <x:f>MAX(0,B7-D7)</x:f>
        <x:v>5</x:v>
      </x:c>
      <x:c r="F7" s="1" t="str">
        <x:f>IF(D7&gt;=B7,"可初步描述","樣本不足")</x:f>
        <x:v>樣本不足</x:v>
      </x:c>
      <x:c r="G7" s="15" t="str">
        <x:f>IF(D7&lt;B7,"",MEDIAN('有效樣本'!$J$22:$J$31))</x:f>
      </x:c>
      <x:c r="H7" s="15" t="str">
        <x:f>IF(D7&lt;B7,"",PERCENTILE.INC('有效樣本'!$J$22:$J$31,0.75))</x:f>
      </x:c>
      <x:c r="I7" s="15" t="str">
        <x:f>IF(OR(D7&lt;B7,COUNT('有效樣本'!$L$22:$L$31)&lt;&gt;D7),"",MEDIAN('有效樣本'!$L$22:$L$31))</x:f>
      </x:c>
      <x:c r="J7" s="15" t="str">
        <x:f>IF(OR(D7&lt;B7,COUNT('有效樣本'!$M$22:$M$31)&lt;&gt;D7),"",MEDIAN('有效樣本'!$M$22:$M$31))</x:f>
      </x:c>
      <x:c r="K7" s="1" t="str">
        <x:f>IF(OR(D7&lt;B7,COUNT('有效樣本'!$K$22:$K$31)&lt;&gt;D7),"",SUM('有效樣本'!$K$22:$K$31))</x:f>
      </x:c>
    </x:row>
    <x:row r="8">
      <x:c r="A8" s="1" t="str">
        <x:v>L4</x:v>
      </x:c>
      <x:c r="B8" s="1" t="n">
        <x:v>5</x:v>
      </x:c>
      <x:c r="C8" s="1" t="n">
        <x:f>COUNT('試用紀錄'!$M$32:$M$41)</x:f>
        <x:v>0</x:v>
      </x:c>
      <x:c r="D8" s="1" t="n">
        <x:f>SUM('試用紀錄'!$X$32:$X$41)</x:f>
        <x:v>0</x:v>
      </x:c>
      <x:c r="E8" s="1" t="n">
        <x:f>MAX(0,B8-D8)</x:f>
        <x:v>5</x:v>
      </x:c>
      <x:c r="F8" s="1" t="str">
        <x:f>IF(D8&gt;=B8,"可初步描述","樣本不足")</x:f>
        <x:v>樣本不足</x:v>
      </x:c>
      <x:c r="G8" s="15" t="str">
        <x:f>IF(D8&lt;B8,"",MEDIAN('有效樣本'!$J$32:$J$41))</x:f>
      </x:c>
      <x:c r="H8" s="15" t="str">
        <x:f>IF(D8&lt;B8,"",PERCENTILE.INC('有效樣本'!$J$32:$J$41,0.75))</x:f>
      </x:c>
      <x:c r="I8" s="15" t="str">
        <x:f>IF(OR(D8&lt;B8,COUNT('有效樣本'!$L$32:$L$41)&lt;&gt;D8),"",MEDIAN('有效樣本'!$L$32:$L$41))</x:f>
      </x:c>
      <x:c r="J8" s="15" t="str">
        <x:f>IF(OR(D8&lt;B8,COUNT('有效樣本'!$M$32:$M$41)&lt;&gt;D8),"",MEDIAN('有效樣本'!$M$32:$M$41))</x:f>
      </x:c>
      <x:c r="K8" s="1" t="str">
        <x:f>IF(OR(D8&lt;B8,COUNT('有效樣本'!$K$32:$K$41)&lt;&gt;D8),"",SUM('有效樣本'!$K$32:$K$41))</x:f>
      </x:c>
    </x:row>
    <x:row r="9">
      <x:c r="A9" s="1" t="str">
        <x:v>L5</x:v>
      </x:c>
      <x:c r="B9" s="1" t="n">
        <x:v>5</x:v>
      </x:c>
      <x:c r="C9" s="1" t="n">
        <x:f>COUNT('試用紀錄'!$M$42:$M$51)</x:f>
        <x:v>0</x:v>
      </x:c>
      <x:c r="D9" s="1" t="n">
        <x:f>SUM('試用紀錄'!$X$42:$X$51)</x:f>
        <x:v>0</x:v>
      </x:c>
      <x:c r="E9" s="1" t="n">
        <x:f>MAX(0,B9-D9)</x:f>
        <x:v>5</x:v>
      </x:c>
      <x:c r="F9" s="1" t="str">
        <x:f>IF(D9&gt;=B9,"可初步描述","樣本不足")</x:f>
        <x:v>樣本不足</x:v>
      </x:c>
      <x:c r="G9" s="15" t="str">
        <x:f>IF(D9&lt;B9,"",MEDIAN('有效樣本'!$J$42:$J$51))</x:f>
      </x:c>
      <x:c r="H9" s="15" t="str">
        <x:f>IF(D9&lt;B9,"",PERCENTILE.INC('有效樣本'!$J$42:$J$51,0.75))</x:f>
      </x:c>
      <x:c r="I9" s="15" t="str">
        <x:f>IF(OR(D9&lt;B9,COUNT('有效樣本'!$L$42:$L$51)&lt;&gt;D9),"",MEDIAN('有效樣本'!$L$42:$L$51))</x:f>
      </x:c>
      <x:c r="J9" s="15" t="str">
        <x:f>IF(OR(D9&lt;B9,COUNT('有效樣本'!$M$42:$M$51)&lt;&gt;D9),"",MEDIAN('有效樣本'!$M$42:$M$51))</x:f>
      </x:c>
      <x:c r="K9" s="1" t="str">
        <x:f>IF(OR(D9&lt;B9,COUNT('有效樣本'!$K$42:$K$51)&lt;&gt;D9),"",SUM('有效樣本'!$K$42:$K$51))</x:f>
      </x:c>
    </x:row>
    <x:row r="12" ht="32" customHeight="1">
      <x:c r="A12" s="5" t="str">
        <x:v>程度</x:v>
      </x:c>
      <x:c r="B12" s="5" t="str">
        <x:v>課程階段</x:v>
      </x:c>
      <x:c r="C12" s="5" t="str">
        <x:v>階段分鐘中位數</x:v>
      </x:c>
      <x:c r="D12" s="5" t="str">
        <x:v>階段分鐘 P75</x:v>
      </x:c>
    </x:row>
    <x:row r="13">
      <x:c r="A13" s="1" t="str">
        <x:v>L1</x:v>
      </x:c>
      <x:c r="B13" s="1" t="str">
        <x:v>字詞暖身</x:v>
      </x:c>
      <x:c r="C13" s="15" t="str">
        <x:f>IF($D$5&lt;5,"",MEDIAN('有效樣本'!$D$2:$D$11))</x:f>
      </x:c>
      <x:c r="D13" s="15" t="str">
        <x:f>IF($D$5&lt;5,"",PERCENTILE.INC('有效樣本'!$D$2:$D$11,0.75))</x:f>
      </x:c>
    </x:row>
    <x:row r="14">
      <x:c r="A14" s="1" t="str">
        <x:v>L1</x:v>
      </x:c>
      <x:c r="B14" s="1" t="str">
        <x:v>首次完整聽讀</x:v>
      </x:c>
      <x:c r="C14" s="15" t="str">
        <x:f>IF($D$5&lt;5,"",MEDIAN('有效樣本'!$E$2:$E$11))</x:f>
      </x:c>
      <x:c r="D14" s="15" t="str">
        <x:f>IF($D$5&lt;5,"",PERCENTILE.INC('有效樣本'!$E$2:$E$11,0.75))</x:f>
      </x:c>
    </x:row>
    <x:row r="15">
      <x:c r="A15" s="1" t="str">
        <x:v>L1</x:v>
      </x:c>
      <x:c r="B15" s="1" t="str">
        <x:v>核心句精聽</x:v>
      </x:c>
      <x:c r="C15" s="15" t="str">
        <x:f>IF($D$5&lt;5,"",MEDIAN('有效樣本'!$F$2:$F$11))</x:f>
      </x:c>
      <x:c r="D15" s="15" t="str">
        <x:f>IF($D$5&lt;5,"",PERCENTILE.INC('有效樣本'!$F$2:$F$11,0.75))</x:f>
      </x:c>
    </x:row>
    <x:row r="16">
      <x:c r="A16" s="1" t="str">
        <x:v>L1</x:v>
      </x:c>
      <x:c r="B16" s="1" t="str">
        <x:v>理解檢核</x:v>
      </x:c>
      <x:c r="C16" s="15" t="str">
        <x:f>IF($D$5&lt;5,"",MEDIAN('有效樣本'!$G$2:$G$11))</x:f>
      </x:c>
      <x:c r="D16" s="15" t="str">
        <x:f>IF($D$5&lt;5,"",PERCENTILE.INC('有效樣本'!$G$2:$G$11,0.75))</x:f>
      </x:c>
    </x:row>
    <x:row r="17">
      <x:c r="A17" s="1" t="str">
        <x:v>L1</x:v>
      </x:c>
      <x:c r="B17" s="1" t="str">
        <x:v>開口輸出</x:v>
      </x:c>
      <x:c r="C17" s="15" t="str">
        <x:f>IF($D$5&lt;5,"",MEDIAN('有效樣本'!$H$2:$H$11))</x:f>
      </x:c>
      <x:c r="D17" s="15" t="str">
        <x:f>IF($D$5&lt;5,"",PERCENTILE.INC('有效樣本'!$H$2:$H$11,0.75))</x:f>
      </x:c>
    </x:row>
    <x:row r="18">
      <x:c r="A18" s="1" t="str">
        <x:v>L1</x:v>
      </x:c>
      <x:c r="B18" s="1" t="str">
        <x:v>回顧收尾</x:v>
      </x:c>
      <x:c r="C18" s="15" t="str">
        <x:f>IF($D$5&lt;5,"",MEDIAN('有效樣本'!$I$2:$I$11))</x:f>
      </x:c>
      <x:c r="D18" s="15" t="str">
        <x:f>IF($D$5&lt;5,"",PERCENTILE.INC('有效樣本'!$I$2:$I$11,0.75))</x:f>
      </x:c>
    </x:row>
    <x:row r="19">
      <x:c r="A19" s="1" t="str">
        <x:v>L2</x:v>
      </x:c>
      <x:c r="B19" s="1" t="str">
        <x:v>字詞暖身</x:v>
      </x:c>
      <x:c r="C19" s="15" t="str">
        <x:f>IF($D$6&lt;5,"",MEDIAN('有效樣本'!$D$12:$D$21))</x:f>
      </x:c>
      <x:c r="D19" s="15" t="str">
        <x:f>IF($D$6&lt;5,"",PERCENTILE.INC('有效樣本'!$D$12:$D$21,0.75))</x:f>
      </x:c>
    </x:row>
    <x:row r="20">
      <x:c r="A20" s="1" t="str">
        <x:v>L2</x:v>
      </x:c>
      <x:c r="B20" s="1" t="str">
        <x:v>首次完整聽讀</x:v>
      </x:c>
      <x:c r="C20" s="15" t="str">
        <x:f>IF($D$6&lt;5,"",MEDIAN('有效樣本'!$E$12:$E$21))</x:f>
      </x:c>
      <x:c r="D20" s="15" t="str">
        <x:f>IF($D$6&lt;5,"",PERCENTILE.INC('有效樣本'!$E$12:$E$21,0.75))</x:f>
      </x:c>
    </x:row>
    <x:row r="21">
      <x:c r="A21" s="1" t="str">
        <x:v>L2</x:v>
      </x:c>
      <x:c r="B21" s="1" t="str">
        <x:v>核心句精聽</x:v>
      </x:c>
      <x:c r="C21" s="15" t="str">
        <x:f>IF($D$6&lt;5,"",MEDIAN('有效樣本'!$F$12:$F$21))</x:f>
      </x:c>
      <x:c r="D21" s="15" t="str">
        <x:f>IF($D$6&lt;5,"",PERCENTILE.INC('有效樣本'!$F$12:$F$21,0.75))</x:f>
      </x:c>
    </x:row>
    <x:row r="22">
      <x:c r="A22" s="1" t="str">
        <x:v>L2</x:v>
      </x:c>
      <x:c r="B22" s="1" t="str">
        <x:v>理解檢核</x:v>
      </x:c>
      <x:c r="C22" s="15" t="str">
        <x:f>IF($D$6&lt;5,"",MEDIAN('有效樣本'!$G$12:$G$21))</x:f>
      </x:c>
      <x:c r="D22" s="15" t="str">
        <x:f>IF($D$6&lt;5,"",PERCENTILE.INC('有效樣本'!$G$12:$G$21,0.75))</x:f>
      </x:c>
    </x:row>
    <x:row r="23">
      <x:c r="A23" s="1" t="str">
        <x:v>L2</x:v>
      </x:c>
      <x:c r="B23" s="1" t="str">
        <x:v>開口輸出</x:v>
      </x:c>
      <x:c r="C23" s="15" t="str">
        <x:f>IF($D$6&lt;5,"",MEDIAN('有效樣本'!$H$12:$H$21))</x:f>
      </x:c>
      <x:c r="D23" s="15" t="str">
        <x:f>IF($D$6&lt;5,"",PERCENTILE.INC('有效樣本'!$H$12:$H$21,0.75))</x:f>
      </x:c>
    </x:row>
    <x:row r="24">
      <x:c r="A24" s="1" t="str">
        <x:v>L2</x:v>
      </x:c>
      <x:c r="B24" s="1" t="str">
        <x:v>回顧收尾</x:v>
      </x:c>
      <x:c r="C24" s="15" t="str">
        <x:f>IF($D$6&lt;5,"",MEDIAN('有效樣本'!$I$12:$I$21))</x:f>
      </x:c>
      <x:c r="D24" s="15" t="str">
        <x:f>IF($D$6&lt;5,"",PERCENTILE.INC('有效樣本'!$I$12:$I$21,0.75))</x:f>
      </x:c>
    </x:row>
    <x:row r="25">
      <x:c r="A25" s="1" t="str">
        <x:v>L3</x:v>
      </x:c>
      <x:c r="B25" s="1" t="str">
        <x:v>字詞暖身</x:v>
      </x:c>
      <x:c r="C25" s="15" t="str">
        <x:f>IF($D$7&lt;5,"",MEDIAN('有效樣本'!$D$22:$D$31))</x:f>
      </x:c>
      <x:c r="D25" s="15" t="str">
        <x:f>IF($D$7&lt;5,"",PERCENTILE.INC('有效樣本'!$D$22:$D$31,0.75))</x:f>
      </x:c>
    </x:row>
    <x:row r="26">
      <x:c r="A26" s="1" t="str">
        <x:v>L3</x:v>
      </x:c>
      <x:c r="B26" s="1" t="str">
        <x:v>首次完整聽讀</x:v>
      </x:c>
      <x:c r="C26" s="15" t="str">
        <x:f>IF($D$7&lt;5,"",MEDIAN('有效樣本'!$E$22:$E$31))</x:f>
      </x:c>
      <x:c r="D26" s="15" t="str">
        <x:f>IF($D$7&lt;5,"",PERCENTILE.INC('有效樣本'!$E$22:$E$31,0.75))</x:f>
      </x:c>
    </x:row>
    <x:row r="27">
      <x:c r="A27" s="1" t="str">
        <x:v>L3</x:v>
      </x:c>
      <x:c r="B27" s="1" t="str">
        <x:v>核心句精聽</x:v>
      </x:c>
      <x:c r="C27" s="15" t="str">
        <x:f>IF($D$7&lt;5,"",MEDIAN('有效樣本'!$F$22:$F$31))</x:f>
      </x:c>
      <x:c r="D27" s="15" t="str">
        <x:f>IF($D$7&lt;5,"",PERCENTILE.INC('有效樣本'!$F$22:$F$31,0.75))</x:f>
      </x:c>
    </x:row>
    <x:row r="28">
      <x:c r="A28" s="1" t="str">
        <x:v>L3</x:v>
      </x:c>
      <x:c r="B28" s="1" t="str">
        <x:v>理解檢核</x:v>
      </x:c>
      <x:c r="C28" s="15" t="str">
        <x:f>IF($D$7&lt;5,"",MEDIAN('有效樣本'!$G$22:$G$31))</x:f>
      </x:c>
      <x:c r="D28" s="15" t="str">
        <x:f>IF($D$7&lt;5,"",PERCENTILE.INC('有效樣本'!$G$22:$G$31,0.75))</x:f>
      </x:c>
    </x:row>
    <x:row r="29">
      <x:c r="A29" s="1" t="str">
        <x:v>L3</x:v>
      </x:c>
      <x:c r="B29" s="1" t="str">
        <x:v>開口輸出</x:v>
      </x:c>
      <x:c r="C29" s="15" t="str">
        <x:f>IF($D$7&lt;5,"",MEDIAN('有效樣本'!$H$22:$H$31))</x:f>
      </x:c>
      <x:c r="D29" s="15" t="str">
        <x:f>IF($D$7&lt;5,"",PERCENTILE.INC('有效樣本'!$H$22:$H$31,0.75))</x:f>
      </x:c>
    </x:row>
    <x:row r="30">
      <x:c r="A30" s="1" t="str">
        <x:v>L3</x:v>
      </x:c>
      <x:c r="B30" s="1" t="str">
        <x:v>回顧收尾</x:v>
      </x:c>
      <x:c r="C30" s="15" t="str">
        <x:f>IF($D$7&lt;5,"",MEDIAN('有效樣本'!$I$22:$I$31))</x:f>
      </x:c>
      <x:c r="D30" s="15" t="str">
        <x:f>IF($D$7&lt;5,"",PERCENTILE.INC('有效樣本'!$I$22:$I$31,0.75))</x:f>
      </x:c>
    </x:row>
    <x:row r="31">
      <x:c r="A31" s="1" t="str">
        <x:v>L4</x:v>
      </x:c>
      <x:c r="B31" s="1" t="str">
        <x:v>字詞暖身</x:v>
      </x:c>
      <x:c r="C31" s="15" t="str">
        <x:f>IF($D$8&lt;5,"",MEDIAN('有效樣本'!$D$32:$D$41))</x:f>
      </x:c>
      <x:c r="D31" s="15" t="str">
        <x:f>IF($D$8&lt;5,"",PERCENTILE.INC('有效樣本'!$D$32:$D$41,0.75))</x:f>
      </x:c>
    </x:row>
    <x:row r="32">
      <x:c r="A32" s="1" t="str">
        <x:v>L4</x:v>
      </x:c>
      <x:c r="B32" s="1" t="str">
        <x:v>首次完整聽讀</x:v>
      </x:c>
      <x:c r="C32" s="15" t="str">
        <x:f>IF($D$8&lt;5,"",MEDIAN('有效樣本'!$E$32:$E$41))</x:f>
      </x:c>
      <x:c r="D32" s="15" t="str">
        <x:f>IF($D$8&lt;5,"",PERCENTILE.INC('有效樣本'!$E$32:$E$41,0.75))</x:f>
      </x:c>
    </x:row>
    <x:row r="33">
      <x:c r="A33" s="1" t="str">
        <x:v>L4</x:v>
      </x:c>
      <x:c r="B33" s="1" t="str">
        <x:v>核心句精聽</x:v>
      </x:c>
      <x:c r="C33" s="15" t="str">
        <x:f>IF($D$8&lt;5,"",MEDIAN('有效樣本'!$F$32:$F$41))</x:f>
      </x:c>
      <x:c r="D33" s="15" t="str">
        <x:f>IF($D$8&lt;5,"",PERCENTILE.INC('有效樣本'!$F$32:$F$41,0.75))</x:f>
      </x:c>
    </x:row>
    <x:row r="34">
      <x:c r="A34" s="1" t="str">
        <x:v>L4</x:v>
      </x:c>
      <x:c r="B34" s="1" t="str">
        <x:v>理解檢核</x:v>
      </x:c>
      <x:c r="C34" s="15" t="str">
        <x:f>IF($D$8&lt;5,"",MEDIAN('有效樣本'!$G$32:$G$41))</x:f>
      </x:c>
      <x:c r="D34" s="15" t="str">
        <x:f>IF($D$8&lt;5,"",PERCENTILE.INC('有效樣本'!$G$32:$G$41,0.75))</x:f>
      </x:c>
    </x:row>
    <x:row r="35">
      <x:c r="A35" s="1" t="str">
        <x:v>L4</x:v>
      </x:c>
      <x:c r="B35" s="1" t="str">
        <x:v>開口輸出</x:v>
      </x:c>
      <x:c r="C35" s="15" t="str">
        <x:f>IF($D$8&lt;5,"",MEDIAN('有效樣本'!$H$32:$H$41))</x:f>
      </x:c>
      <x:c r="D35" s="15" t="str">
        <x:f>IF($D$8&lt;5,"",PERCENTILE.INC('有效樣本'!$H$32:$H$41,0.75))</x:f>
      </x:c>
    </x:row>
    <x:row r="36">
      <x:c r="A36" s="1" t="str">
        <x:v>L4</x:v>
      </x:c>
      <x:c r="B36" s="1" t="str">
        <x:v>回顧收尾</x:v>
      </x:c>
      <x:c r="C36" s="15" t="str">
        <x:f>IF($D$8&lt;5,"",MEDIAN('有效樣本'!$I$32:$I$41))</x:f>
      </x:c>
      <x:c r="D36" s="15" t="str">
        <x:f>IF($D$8&lt;5,"",PERCENTILE.INC('有效樣本'!$I$32:$I$41,0.75))</x:f>
      </x:c>
    </x:row>
    <x:row r="37">
      <x:c r="A37" s="1" t="str">
        <x:v>L5</x:v>
      </x:c>
      <x:c r="B37" s="1" t="str">
        <x:v>字詞暖身</x:v>
      </x:c>
      <x:c r="C37" s="15" t="str">
        <x:f>IF($D$9&lt;5,"",MEDIAN('有效樣本'!$D$42:$D$51))</x:f>
      </x:c>
      <x:c r="D37" s="15" t="str">
        <x:f>IF($D$9&lt;5,"",PERCENTILE.INC('有效樣本'!$D$42:$D$51,0.75))</x:f>
      </x:c>
    </x:row>
    <x:row r="38">
      <x:c r="A38" s="1" t="str">
        <x:v>L5</x:v>
      </x:c>
      <x:c r="B38" s="1" t="str">
        <x:v>首次完整聽讀</x:v>
      </x:c>
      <x:c r="C38" s="15" t="str">
        <x:f>IF($D$9&lt;5,"",MEDIAN('有效樣本'!$E$42:$E$51))</x:f>
      </x:c>
      <x:c r="D38" s="15" t="str">
        <x:f>IF($D$9&lt;5,"",PERCENTILE.INC('有效樣本'!$E$42:$E$51,0.75))</x:f>
      </x:c>
    </x:row>
    <x:row r="39">
      <x:c r="A39" s="1" t="str">
        <x:v>L5</x:v>
      </x:c>
      <x:c r="B39" s="1" t="str">
        <x:v>核心句精聽</x:v>
      </x:c>
      <x:c r="C39" s="15" t="str">
        <x:f>IF($D$9&lt;5,"",MEDIAN('有效樣本'!$F$42:$F$51))</x:f>
      </x:c>
      <x:c r="D39" s="15" t="str">
        <x:f>IF($D$9&lt;5,"",PERCENTILE.INC('有效樣本'!$F$42:$F$51,0.75))</x:f>
      </x:c>
    </x:row>
    <x:row r="40">
      <x:c r="A40" s="1" t="str">
        <x:v>L5</x:v>
      </x:c>
      <x:c r="B40" s="1" t="str">
        <x:v>理解檢核</x:v>
      </x:c>
      <x:c r="C40" s="15" t="str">
        <x:f>IF($D$9&lt;5,"",MEDIAN('有效樣本'!$G$42:$G$51))</x:f>
      </x:c>
      <x:c r="D40" s="15" t="str">
        <x:f>IF($D$9&lt;5,"",PERCENTILE.INC('有效樣本'!$G$42:$G$51,0.75))</x:f>
      </x:c>
    </x:row>
    <x:row r="41">
      <x:c r="A41" s="1" t="str">
        <x:v>L5</x:v>
      </x:c>
      <x:c r="B41" s="1" t="str">
        <x:v>開口輸出</x:v>
      </x:c>
      <x:c r="C41" s="15" t="str">
        <x:f>IF($D$9&lt;5,"",MEDIAN('有效樣本'!$H$42:$H$51))</x:f>
      </x:c>
      <x:c r="D41" s="15" t="str">
        <x:f>IF($D$9&lt;5,"",PERCENTILE.INC('有效樣本'!$H$42:$H$51,0.75))</x:f>
      </x:c>
    </x:row>
    <x:row r="42">
      <x:c r="A42" s="1" t="str">
        <x:v>L5</x:v>
      </x:c>
      <x:c r="B42" s="1" t="str">
        <x:v>回顧收尾</x:v>
      </x:c>
      <x:c r="C42" s="15" t="str">
        <x:f>IF($D$9&lt;5,"",MEDIAN('有效樣本'!$I$42:$I$51))</x:f>
      </x:c>
      <x:c r="D42" s="15" t="str">
        <x:f>IF($D$9&lt;5,"",PERCENTILE.INC('有效樣本'!$I$42:$I$51,0.75))</x:f>
      </x:c>
    </x:row>
    <x:row r="44">
      <x:c r="A44" s="13" t="str">
        <x:v>未滿 5 位不同學習者前，中位數與 P75 保持空白；同一匿名代碼的重複試次不計入摘要。</x:v>
      </x:c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16" t="str">
        <x:v>匿名學習時間試用表</x:v>
      </x:c>
      <x:c r="B1" s="16"/>
    </x:row>
    <x:row r="2" ht="34" customHeight="1">
      <x:c r="A2" s="19" t="str">
        <x:v>用途</x:v>
      </x:c>
      <x:c r="B2" s="20" t="str">
        <x:v>記錄六階段實際用時；只作初步描述，不代表正式效果研究。</x:v>
      </x:c>
    </x:row>
    <x:row r="3" ht="34" customHeight="1">
      <x:c r="A3" s="19" t="str">
        <x:v>填寫前</x:v>
      </x:c>
      <x:c r="B3" s="20" t="str">
        <x:v>本檔不含學習者資料。每級最多先留 10 格，至少需要 5 位不同學習者的有效完成紀錄。</x:v>
      </x:c>
    </x:row>
    <x:row r="4" ht="34" customHeight="1">
      <x:c r="A4" s="19"/>
      <x:c r="B4" s="20"/>
    </x:row>
    <x:row r="5" ht="34" customHeight="1">
      <x:c r="A5" s="19" t="str">
        <x:v>匿名代碼</x:v>
      </x:c>
      <x:c r="B5" s="20" t="str">
        <x:v>為每位學習者建立隨機代碼，不保留姓名對照表；同一人重複試用時沿用同代碼。</x:v>
      </x:c>
    </x:row>
    <x:row r="6" ht="34" customHeight="1">
      <x:c r="A6" s="19" t="str">
        <x:v>試次代碼／程度</x:v>
      </x:c>
      <x:c r="B6" s="20" t="str">
        <x:v>已預填每級 10 個格位；請勿為了補足數字把部分完成標成完成。</x:v>
      </x:c>
    </x:row>
    <x:row r="7" ht="34" customHeight="1">
      <x:c r="A7" s="19" t="str">
        <x:v>有效分鐘</x:v>
      </x:c>
      <x:c r="B7" s="20" t="str">
        <x:v>計入重聽、查詞、思考與開口時間；不計離開、接電話或休息。</x:v>
      </x:c>
    </x:row>
    <x:row r="8" ht="34" customHeight="1">
      <x:c r="A8" s="19" t="str">
        <x:v>暫停分鐘</x:v>
      </x:c>
      <x:c r="B8" s="20" t="str">
        <x:v>把休息／中斷另記在暫停欄，不加回有效分鐘。</x:v>
      </x:c>
    </x:row>
    <x:row r="9" ht="34" customHeight="1">
      <x:c r="A9" s="19" t="str">
        <x:v>階段未做</x:v>
      </x:c>
      <x:c r="B9" s="20" t="str">
        <x:v>若跳過一階段，該階段填 0 分鐘，並在「跳過任何階段？」選「是」及寫明階段。</x:v>
      </x:c>
    </x:row>
    <x:row r="10" ht="34" customHeight="1">
      <x:c r="A10" s="19" t="str">
        <x:v>完成狀態</x:v>
      </x:c>
      <x:c r="B10" s="20" t="str">
        <x:v>只有完成核心課程才選「完成」；六個階段都必須是數字（含跳過時的 0），才計入有效總時數。</x:v>
      </x:c>
    </x:row>
    <x:row r="11" ht="34" customHeight="1">
      <x:c r="A11" s="19" t="str">
        <x:v>摘要門檻</x:v>
      </x:c>
      <x:c r="B11" s="20" t="str">
        <x:v>每級至少 5 位不同匿名代碼且各有完整有效試用後，才顯示該級中位數與 P75。重複試次只取該代碼第一筆有效完成。</x:v>
      </x:c>
    </x:row>
    <x:row r="12" ht="34" customHeight="1">
      <x:c r="A12" s="19" t="str">
        <x:v>計數欄位</x:v>
      </x:c>
      <x:c r="B12" s="20" t="str">
        <x:v>沒有重聽或查詞時填 0；不確定則留白，相關摘要會保持空白而不是當成 0。</x:v>
      </x:c>
    </x:row>
    <x:row r="13" ht="34" customHeight="1">
      <x:c r="A13" s="19" t="str">
        <x:v>原始與摘要</x:v>
      </x:c>
      <x:c r="B13" s="20" t="str">
        <x:v>「試用紀錄」保留輸入；「有效樣本」以公式擷取每位學習者首筆有效試用；「分級摘要」只彙總有效樣本。</x:v>
      </x:c>
    </x:row>
    <x:row r="14" ht="34" customHeight="1">
      <x:c r="A14" s="19" t="str">
        <x:v>判讀限制</x:v>
      </x:c>
      <x:c r="B14" s="20" t="str">
        <x:v>各級摘要可能混合不同課型與核心句數；若內容型態差異大，先按課型分層檢查，不直接據此改所有課。</x:v>
      </x:c>
    </x:row>
    <x:row r="15" ht="34" customHeight="1">
      <x:c r="A15" s="19" t="str">
        <x:v>隱私</x:v>
      </x:c>
      <x:c r="B15" s="20" t="str">
        <x:v>不填姓名、電話、電子郵件、真實住址、錄音、逐字答案或病歷；自由文字不得包含可識別個資。</x:v>
      </x:c>
    </x:row>
    <x:row r="16" ht="34" customHeight="1">
      <x:c r="A16" s="19" t="str">
        <x:v>保存</x:v>
      </x:c>
      <x:c r="B16" s="20" t="str">
        <x:v>先在本機保管。若要分享分析，只提供去識別後的資料；不要上傳學生名單或代碼對照表。</x:v>
      </x:c>
    </x:row>
    <x:row r="17" ht="34" customHeight="1">
      <x:c r="A17" s="19"/>
      <x:c r="B17" s="20"/>
    </x:row>
    <x:row r="18" ht="34" customHeight="1">
      <x:c r="A18" s="19" t="str">
        <x:v>課程流程來源</x:v>
      </x:c>
      <x:c r="B18" s="20" t="str">
        <x:v>Echo SDD-006：六階段核心課的設計時間預算合計 30 分鐘。</x:v>
      </x:c>
    </x:row>
    <x:row r="19" ht="34" customHeight="1">
      <x:c r="A19" s="19" t="str">
        <x:v>量測協定</x:v>
      </x:c>
      <x:c r="B19" s="20" t="str">
        <x:v>Echo SDD-010：有效時間、取樣、匿名與分級描述統計規則。</x:v>
      </x:c>
    </x:row>
    <x:row r="20" ht="34" customHeight="1">
      <x:c r="A20" s="19" t="str">
        <x:v>來源位置</x:v>
      </x:c>
      <x:c r="B20" s="20" t="str">
        <x:v>docs/sdd/006-thirty-minute-core-lessons.md；docs/sdd/010-thirty-minute-course-time-calibration.md</x:v>
      </x:c>
    </x:row>
  </x:sheetData>
  <x:pageMargins left="0.7" right="0.7" top="0.75" bottom="0.75" header="0.3" footer="0.3"/>
</x:worksheet>
</file>